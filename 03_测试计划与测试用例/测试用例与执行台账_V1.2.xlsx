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统计" sheetId="1" state="visible" r:id="rId1"/>
    <sheet xmlns:r="http://schemas.openxmlformats.org/officeDocument/2006/relationships" name="用例库" sheetId="2" state="visible" r:id="rId2"/>
    <sheet xmlns:r="http://schemas.openxmlformats.org/officeDocument/2006/relationships" name="执行记录" sheetId="3" state="visible" r:id="rId3"/>
    <sheet xmlns:r="http://schemas.openxmlformats.org/officeDocument/2006/relationships" name="执行历史" sheetId="4" state="visible" r:id="rId4"/>
    <sheet xmlns:r="http://schemas.openxmlformats.org/officeDocument/2006/relationships" name="追踪矩阵" sheetId="5" state="visible" r:id="rId5"/>
    <sheet xmlns:r="http://schemas.openxmlformats.org/officeDocument/2006/relationships" name="数据集" sheetId="6" state="visible" r:id="rId6"/>
    <sheet xmlns:r="http://schemas.openxmlformats.org/officeDocument/2006/relationships" name="环境登记" sheetId="7" state="visible" r:id="rId7"/>
    <sheet xmlns:r="http://schemas.openxmlformats.org/officeDocument/2006/relationships" name="缺陷台账" sheetId="8" state="visible" r:id="rId8"/>
    <sheet xmlns:r="http://schemas.openxmlformats.org/officeDocument/2006/relationships" name="性能轮次" sheetId="9" state="visible" r:id="rId9"/>
    <sheet xmlns:r="http://schemas.openxmlformats.org/officeDocument/2006/relationships" name="可用性记录" sheetId="10" state="visible" r:id="rId10"/>
    <sheet xmlns:r="http://schemas.openxmlformats.org/officeDocument/2006/relationships" name="发布检查单" sheetId="11" state="visible" r:id="rId11"/>
    <sheet xmlns:r="http://schemas.openxmlformats.org/officeDocument/2006/relationships" name="风险台账" sheetId="12" state="visible" r:id="rId12"/>
    <sheet xmlns:r="http://schemas.openxmlformats.org/officeDocument/2006/relationships" name="报告结构" sheetId="13" state="visible" r:id="rId13"/>
    <sheet xmlns:r="http://schemas.openxmlformats.org/officeDocument/2006/relationships" name="自动场景证据" sheetId="14" state="visible" r:id="rId14"/>
    <sheet xmlns:r="http://schemas.openxmlformats.org/officeDocument/2006/relationships" name="实现验收对应" sheetId="15" state="visible" r:id="rId15"/>
    <sheet xmlns:r="http://schemas.openxmlformats.org/officeDocument/2006/relationships" name="成员验收签署" sheetId="16" state="visible" r:id="rId16"/>
  </sheets>
  <definedNames>
    <definedName name="_xlnm._FilterDatabase" localSheetId="0" hidden="1">'说明统计'!$A$1:$B$21</definedName>
    <definedName name="_xlnm.Print_Titles" localSheetId="0">'说明统计'!$1:$1</definedName>
    <definedName name="_xlnm._FilterDatabase" localSheetId="1" hidden="1">'用例库'!$A$1:$N$159</definedName>
    <definedName name="_xlnm.Print_Titles" localSheetId="1">'用例库'!$1:$1</definedName>
    <definedName name="_xlnm._FilterDatabase" localSheetId="2" hidden="1">'执行记录'!$A$1:$L$159</definedName>
    <definedName name="_xlnm.Print_Titles" localSheetId="2">'执行记录'!$1:$1</definedName>
    <definedName name="_xlnm._FilterDatabase" localSheetId="3" hidden="1">'执行历史'!$A$1:$L$1</definedName>
    <definedName name="_xlnm.Print_Titles" localSheetId="3">'执行历史'!$1:$1</definedName>
    <definedName name="_xlnm._FilterDatabase" localSheetId="4" hidden="1">'追踪矩阵'!$A$1:$E$79</definedName>
    <definedName name="_xlnm.Print_Titles" localSheetId="4">'追踪矩阵'!$1:$1</definedName>
    <definedName name="_xlnm._FilterDatabase" localSheetId="5" hidden="1">'数据集'!$A$1:$C$15</definedName>
    <definedName name="_xlnm.Print_Titles" localSheetId="5">'数据集'!$1:$1</definedName>
    <definedName name="_xlnm._FilterDatabase" localSheetId="6" hidden="1">'环境登记'!$A$1:$K$1</definedName>
    <definedName name="_xlnm.Print_Titles" localSheetId="6">'环境登记'!$1:$1</definedName>
    <definedName name="_xlnm._FilterDatabase" localSheetId="7" hidden="1">'缺陷台账'!$A$1:$N$1</definedName>
    <definedName name="_xlnm.Print_Titles" localSheetId="7">'缺陷台账'!$1:$1</definedName>
    <definedName name="_xlnm._FilterDatabase" localSheetId="8" hidden="1">'性能轮次'!$A$1:$O$8</definedName>
    <definedName name="_xlnm.Print_Titles" localSheetId="8">'性能轮次'!$1:$1</definedName>
    <definedName name="_xlnm._FilterDatabase" localSheetId="9" hidden="1">'可用性记录'!$A$1:$J$1</definedName>
    <definedName name="_xlnm.Print_Titles" localSheetId="9">'可用性记录'!$1:$1</definedName>
    <definedName name="_xlnm._FilterDatabase" localSheetId="10" hidden="1">'发布检查单'!$A$1:$G$21</definedName>
    <definedName name="_xlnm.Print_Titles" localSheetId="10">'发布检查单'!$1:$1</definedName>
    <definedName name="_xlnm._FilterDatabase" localSheetId="11" hidden="1">'风险台账'!$A$1:$K$15</definedName>
    <definedName name="_xlnm.Print_Titles" localSheetId="11">'风险台账'!$1:$1</definedName>
    <definedName name="_xlnm._FilterDatabase" localSheetId="12" hidden="1">'报告结构'!$A$1:$C$14</definedName>
    <definedName name="_xlnm.Print_Titles" localSheetId="12">'报告结构'!$1:$1</definedName>
    <definedName name="_xlnm._FilterDatabase" localSheetId="13" hidden="1">'自动场景证据'!$A$1:$H$61</definedName>
    <definedName name="_xlnm._FilterDatabase" localSheetId="14" hidden="1">'实现验收对应'!$A$1:$G$79</definedName>
    <definedName name="_xlnm._FilterDatabase" localSheetId="15" hidden="1">'成员验收签署'!$A$1:$E$9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0" customHeight="1">
      <c r="A1" s="1" t="inlineStr">
        <is>
          <t>项目</t>
        </is>
      </c>
      <c r="B1" s="1" t="inlineStr">
        <is>
          <t>内容</t>
        </is>
      </c>
    </row>
    <row r="2" ht="36" customHeight="1">
      <c r="A2" s="2" t="inlineStr">
        <is>
          <t>文档版本</t>
        </is>
      </c>
      <c r="B2" s="2" t="inlineStr">
        <is>
          <t>需求分析文档 V2.0；设计文档 V2.0；测试计划 V2.0；用例与执行台账 V1.2</t>
        </is>
      </c>
    </row>
    <row r="3" ht="36" customHeight="1">
      <c r="A3" s="2" t="inlineStr">
        <is>
          <t>性质</t>
        </is>
      </c>
      <c r="B3" s="2" t="inlineStr">
        <is>
          <t>测试用例及实际执行台账；计划关联不代表全部测试通过</t>
        </is>
      </c>
    </row>
    <row r="4" ht="36" customHeight="1">
      <c r="A4" s="2" t="inlineStr">
        <is>
          <t>用例数</t>
        </is>
      </c>
      <c r="B4" s="2" t="n">
        <v>158</v>
      </c>
    </row>
    <row r="5" ht="36" customHeight="1">
      <c r="A5" s="2" t="inlineStr">
        <is>
          <t>已通过</t>
        </is>
      </c>
      <c r="B5" s="2">
        <f>COUNTIF(执行记录!G2:G159,"PASS")</f>
        <v/>
      </c>
    </row>
    <row r="6" ht="36" customHeight="1">
      <c r="A6" s="2" t="inlineStr">
        <is>
          <t>失败</t>
        </is>
      </c>
      <c r="B6" s="2">
        <f>COUNTIF(执行记录!G2:G159,"FAIL")</f>
        <v/>
      </c>
    </row>
    <row r="7" ht="36" customHeight="1">
      <c r="A7" s="2" t="inlineStr">
        <is>
          <t>阻塞</t>
        </is>
      </c>
      <c r="B7" s="2">
        <f>COUNTIF(执行记录!G2:G159,"BLOCKED")</f>
        <v/>
      </c>
    </row>
    <row r="8" ht="36" customHeight="1">
      <c r="A8" s="2" t="inlineStr">
        <is>
          <t>未执行</t>
        </is>
      </c>
      <c r="B8" s="2">
        <f>COUNTIF(执行记录!G2:G159,"NOT_RUN")</f>
        <v/>
      </c>
    </row>
    <row r="9" ht="36" customHeight="1">
      <c r="A9" s="2" t="inlineStr">
        <is>
          <t>不适用</t>
        </is>
      </c>
      <c r="B9" s="2">
        <f>COUNTIF(执行记录!G2:G159,"NOT_APPLICABLE")</f>
        <v/>
      </c>
    </row>
    <row r="10" ht="36" customHeight="1">
      <c r="A10" s="2" t="inlineStr">
        <is>
          <t>执行覆盖率</t>
        </is>
      </c>
      <c r="B10" s="2">
        <f>(B5+B6)/B4</f>
        <v/>
      </c>
    </row>
    <row r="11" ht="36" customHeight="1">
      <c r="A11" s="2" t="inlineStr">
        <is>
          <t>使用方法</t>
        </is>
      </c>
      <c r="B11" s="2" t="inlineStr">
        <is>
          <t>执行记录每用例一个当前状态；每次执行完整证据按runId归档，另在执行历史追加。统计仅当前状态。</t>
        </is>
      </c>
    </row>
    <row r="12" ht="36" customHeight="1">
      <c r="A12" s="2" t="inlineStr">
        <is>
          <t>通过要求</t>
        </is>
      </c>
      <c r="B12" s="2" t="inlineStr">
        <is>
          <t>前置数据满足、操作完整、业务与数据库断言通过、证据齐全；不能只依据HTTP200</t>
        </is>
      </c>
    </row>
    <row r="13" ht="36" customHeight="1">
      <c r="A13" s="2" t="inlineStr">
        <is>
          <t>P0退出要求</t>
        </is>
      </c>
      <c r="B13" s="2" t="inlineStr">
        <is>
          <t>全部P0通过；S1/S2清零；环境容量不足或缺少7天观测应记录验收缺口</t>
        </is>
      </c>
    </row>
    <row r="14" ht="36" customHeight="1">
      <c r="A14" s="2" t="inlineStr">
        <is>
          <t>角色</t>
        </is>
      </c>
      <c r="B14" s="2" t="inlineStr">
        <is>
          <t>R1组长/集成；R2学生/目录；R3教师/成绩；R4人员/认证/前端；R5测试/关闭/计费；实际成员据实映射</t>
        </is>
      </c>
    </row>
    <row r="15" ht="36" customHeight="1">
      <c r="A15" s="2" t="inlineStr">
        <is>
          <t>引用</t>
        </is>
      </c>
      <c r="B15" s="2" t="inlineStr">
        <is>
          <t>主文档附录D官方资料；工具版本在环境登记记录实际安装值</t>
        </is>
      </c>
    </row>
    <row r="16" ht="36" customHeight="1">
      <c r="A16" s="2" t="inlineStr">
        <is>
          <t>重要区分</t>
        </is>
      </c>
      <c r="B16" s="2" t="inlineStr">
        <is>
          <t>158条为测试用例规格，不是158条已执行测试；模型推演不作为系统测试结果</t>
        </is>
      </c>
    </row>
    <row r="17" ht="45" customHeight="1">
      <c r="A17" s="2" t="inlineStr">
        <is>
          <t>用例构成</t>
        </is>
      </c>
      <c r="B17" s="2" t="inlineStr">
        <is>
          <t>158条用例，保留原编号及执行记录</t>
        </is>
      </c>
    </row>
    <row r="18" ht="45" customHeight="1">
      <c r="A18" s="2" t="inlineStr">
        <is>
          <t>完整追踪</t>
        </is>
      </c>
      <c r="B18" s="2" t="inlineStr">
        <is>
          <t>25FR+16BR+3SEC+5DATA+12NFR+17AC=78项；计划关联不代表实际通过</t>
        </is>
      </c>
    </row>
    <row r="19" ht="45" customHeight="1">
      <c r="A19" s="2" t="inlineStr">
        <is>
          <t>通过率</t>
        </is>
      </c>
      <c r="B19" s="2">
        <f>IFERROR(B5/(B5+B6),"")</f>
        <v/>
      </c>
    </row>
    <row r="20" ht="45" customHeight="1">
      <c r="A20" s="2" t="inlineStr">
        <is>
          <t>参数化要求</t>
        </is>
      </c>
      <c r="B20" s="2" t="inlineStr">
        <is>
          <t>多参数用例必须各variant通过才能同步整条PASS；执行历史保留首次FAIL</t>
        </is>
      </c>
    </row>
    <row r="21" ht="45" customHeight="1">
      <c r="A21" s="2" t="inlineStr">
        <is>
          <t>PDF说明</t>
        </is>
      </c>
      <c r="B21" s="2" t="inlineStr">
        <is>
          <t>独立排版阅读版，内容相同，分页可与Word不同；Word目录可更新</t>
        </is>
      </c>
    </row>
    <row r="22">
      <c r="A22" t="inlineStr">
        <is>
          <t>V1.2执行说明</t>
        </is>
      </c>
      <c r="B22" t="inlineStr">
        <is>
          <t>PARTIAL表示有实际场景证据，但完整计划用例variant未全部执行。人工复核、158整条PASS和长期指标不得由自动记录推定。</t>
        </is>
      </c>
    </row>
    <row r="23">
      <c r="A23" t="inlineStr">
        <is>
          <t>PARTIAL条目</t>
        </is>
      </c>
      <c r="B23">
        <f>COUNTIF(执行记录!G2:G159,"PARTIAL")</f>
        <v/>
      </c>
    </row>
  </sheetData>
  <autoFilter ref="A1:B21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5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30" customWidth="1" min="3" max="3"/>
    <col width="22" customWidth="1" min="4" max="4"/>
    <col width="36" customWidth="1" min="5" max="5"/>
    <col width="28" customWidth="1" min="6" max="6"/>
    <col width="25" customWidth="1" min="7" max="7"/>
    <col width="60" customWidth="1" min="8" max="8"/>
    <col width="62" customWidth="1" min="9" max="9"/>
    <col width="55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0" customHeight="1">
      <c r="A1" s="1" t="inlineStr">
        <is>
          <t>用例编号</t>
        </is>
      </c>
      <c r="B1" s="1" t="inlineStr">
        <is>
          <t>领域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需求关联</t>
        </is>
      </c>
      <c r="F1" s="1" t="inlineStr">
        <is>
          <t>验收关联</t>
        </is>
      </c>
      <c r="G1" s="1" t="inlineStr">
        <is>
          <t>数据集</t>
        </is>
      </c>
      <c r="H1" s="1" t="inlineStr">
        <is>
          <t>前置与操作</t>
        </is>
      </c>
      <c r="I1" s="1" t="inlineStr">
        <is>
          <t>预期结果</t>
        </is>
      </c>
      <c r="J1" s="1" t="inlineStr">
        <is>
          <t>证据要求</t>
        </is>
      </c>
      <c r="K1" s="1" t="inlineStr">
        <is>
          <t>执行方式</t>
        </is>
      </c>
      <c r="L1" s="1" t="inlineStr">
        <is>
          <t>复核角色</t>
        </is>
      </c>
      <c r="M1" s="1" t="inlineStr">
        <is>
          <t>设计关联</t>
        </is>
      </c>
      <c r="N1" s="1" t="inlineStr">
        <is>
          <t>参数化覆盖要求</t>
        </is>
      </c>
    </row>
    <row r="2" ht="72" customHeight="1">
      <c r="A2" s="2" t="inlineStr">
        <is>
          <t>TC-AUTH-001</t>
        </is>
      </c>
      <c r="B2" s="2" t="inlineStr">
        <is>
          <t>AUTH</t>
        </is>
      </c>
      <c r="C2" s="2" t="inlineStr">
        <is>
          <t>三角色正确登录</t>
        </is>
      </c>
      <c r="D2" s="2" t="inlineStr">
        <is>
          <t>P0</t>
        </is>
      </c>
      <c r="E2" s="2" t="inlineStr">
        <is>
          <t>FR-01,FR-02</t>
        </is>
      </c>
      <c r="F2" s="2" t="inlineStr">
        <is>
          <t>AC-01,AC-02</t>
        </is>
      </c>
      <c r="G2" s="2" t="inlineStr">
        <is>
          <t>D01,D14</t>
        </is>
      </c>
      <c r="H2" s="2" t="inlineStr">
        <is>
          <t>按主文档第5章构建独立数据快照；分别提交有效凭据并访问me及角色首页</t>
        </is>
      </c>
      <c r="I2" s="2" t="inlineStr">
        <is>
          <t>200；身份和角色正确，Session重新生成</t>
        </is>
      </c>
      <c r="J2" s="2" t="inlineStr">
        <is>
          <t>构建/环境/数据版本、请求与traceId、前后数据库一致性快照；并发附屏障时间线，故障附注入与恢复日志</t>
        </is>
      </c>
      <c r="K2" s="2" t="inlineStr">
        <is>
          <t>自动化+人工核验</t>
        </is>
      </c>
      <c r="L2" s="2" t="inlineStr">
        <is>
          <t>R3/R5</t>
        </is>
      </c>
      <c r="M2" s="2" t="inlineStr">
        <is>
          <t>《设计文档_V2.0》第10—11、附录A；业务约束见《需求分析文档_V2.0》第5—7章</t>
        </is>
      </c>
      <c r="N2" s="2" t="inlineStr">
        <is>
          <t>列举的每个边界/枚举/时刻/浏览器组合均为必测variant；每variant留runId或参数化子结果，全部通过才可将整条标PASS</t>
        </is>
      </c>
    </row>
    <row r="3" ht="72" customHeight="1">
      <c r="A3" s="2" t="inlineStr">
        <is>
          <t>TC-AUTH-002</t>
        </is>
      </c>
      <c r="B3" s="2" t="inlineStr">
        <is>
          <t>AUTH</t>
        </is>
      </c>
      <c r="C3" s="2" t="inlineStr">
        <is>
          <t>错误凭据与未知账号</t>
        </is>
      </c>
      <c r="D3" s="2" t="inlineStr">
        <is>
          <t>P0</t>
        </is>
      </c>
      <c r="E3" s="2" t="inlineStr">
        <is>
          <t>FR-01</t>
        </is>
      </c>
      <c r="F3" s="2" t="inlineStr">
        <is>
          <t>AC-01</t>
        </is>
      </c>
      <c r="G3" s="2" t="inlineStr">
        <is>
          <t>D01,D14</t>
        </is>
      </c>
      <c r="H3" s="2" t="inlineStr">
        <is>
          <t>按主文档第5章构建独立数据快照；错误密码、未知用户名、空字段分别登录</t>
        </is>
      </c>
      <c r="I3" s="2" t="inlineStr">
        <is>
          <t>拒绝且不建立有效Session；提示不泄露账号存在性</t>
        </is>
      </c>
      <c r="J3" s="2" t="inlineStr">
        <is>
          <t>构建/环境/数据版本、请求与traceId、前后数据库一致性快照；并发附屏障时间线，故障附注入与恢复日志</t>
        </is>
      </c>
      <c r="K3" s="2" t="inlineStr">
        <is>
          <t>自动化+人工核验</t>
        </is>
      </c>
      <c r="L3" s="2" t="inlineStr">
        <is>
          <t>R3/R5</t>
        </is>
      </c>
      <c r="M3" s="2" t="inlineStr">
        <is>
          <t>《设计文档_V2.0》第10—11、附录A；业务约束见《需求分析文档_V2.0》第5—7章</t>
        </is>
      </c>
      <c r="N3" s="2" t="inlineStr">
        <is>
          <t>列举的每个边界/枚举/时刻/浏览器组合均为必测variant；每variant留runId或参数化子结果，全部通过才可将整条标PASS</t>
        </is>
      </c>
    </row>
    <row r="4" ht="72" customHeight="1">
      <c r="A4" s="2" t="inlineStr">
        <is>
          <t>TC-AUTH-003</t>
        </is>
      </c>
      <c r="B4" s="2" t="inlineStr">
        <is>
          <t>AUTH</t>
        </is>
      </c>
      <c r="C4" s="2" t="inlineStr">
        <is>
          <t>退出与旧Session</t>
        </is>
      </c>
      <c r="D4" s="2" t="inlineStr">
        <is>
          <t>P0</t>
        </is>
      </c>
      <c r="E4" s="2" t="inlineStr">
        <is>
          <t>FR-03,SEC-03</t>
        </is>
      </c>
      <c r="F4" s="2" t="inlineStr">
        <is>
          <t>AC-01</t>
        </is>
      </c>
      <c r="G4" s="2" t="inlineStr">
        <is>
          <t>D01,D14</t>
        </is>
      </c>
      <c r="H4" s="2" t="inlineStr">
        <is>
          <t>按主文档第5章构建独立数据快照；登录后退出，再携带原Cookie访问受保护接口</t>
        </is>
      </c>
      <c r="I4" s="2" t="inlineStr">
        <is>
          <t>退出成功；旧Session返回401</t>
        </is>
      </c>
      <c r="J4" s="2" t="inlineStr">
        <is>
          <t>构建/环境/数据版本、请求与traceId、前后数据库一致性快照；并发附屏障时间线，故障附注入与恢复日志</t>
        </is>
      </c>
      <c r="K4" s="2" t="inlineStr">
        <is>
          <t>自动化+人工核验</t>
        </is>
      </c>
      <c r="L4" s="2" t="inlineStr">
        <is>
          <t>R3/R5</t>
        </is>
      </c>
      <c r="M4" s="2" t="inlineStr">
        <is>
          <t>《设计文档_V2.0》第10—11、附录A；业务约束见《需求分析文档_V2.0》第5—7章</t>
        </is>
      </c>
      <c r="N4" s="2" t="inlineStr">
        <is>
          <t>列举的每个边界/枚举/时刻/浏览器组合均为必测variant；每variant留runId或参数化子结果，全部通过才可将整条标PASS</t>
        </is>
      </c>
    </row>
    <row r="5" ht="72" customHeight="1">
      <c r="A5" s="2" t="inlineStr">
        <is>
          <t>TC-AUTH-004</t>
        </is>
      </c>
      <c r="B5" s="2" t="inlineStr">
        <is>
          <t>AUTH</t>
        </is>
      </c>
      <c r="C5" s="2" t="inlineStr">
        <is>
          <t>首次密码修改门禁</t>
        </is>
      </c>
      <c r="D5" s="2" t="inlineStr">
        <is>
          <t>P0</t>
        </is>
      </c>
      <c r="E5" s="2" t="inlineStr"/>
      <c r="F5" s="2" t="inlineStr"/>
      <c r="G5" s="2" t="inlineStr">
        <is>
          <t>D01,D14</t>
        </is>
      </c>
      <c r="H5" s="2" t="inlineStr">
        <is>
          <t>按主文档第5章构建独立数据快照；用临时密码访问业务，再修改为合规密码</t>
        </is>
      </c>
      <c r="I5" s="2" t="inlineStr">
        <is>
          <t>业务拒绝；仅me/csrf/logout/password允许；修改后正常使用</t>
        </is>
      </c>
      <c r="J5" s="2" t="inlineStr">
        <is>
          <t>构建/环境/数据版本、请求与traceId、前后数据库一致性快照；并发附屏障时间线，故障附注入与恢复日志</t>
        </is>
      </c>
      <c r="K5" s="2" t="inlineStr">
        <is>
          <t>自动化+人工核验</t>
        </is>
      </c>
      <c r="L5" s="2" t="inlineStr">
        <is>
          <t>R3/R5</t>
        </is>
      </c>
      <c r="M5" s="2" t="inlineStr">
        <is>
          <t>《设计文档_V2.0》第10—11、附录A；业务约束见《需求分析文档_V2.0》第5—7章</t>
        </is>
      </c>
      <c r="N5" s="2" t="inlineStr">
        <is>
          <t>列举的每个边界/枚举/时刻/浏览器组合均为必测variant；每variant留runId或参数化子结果，全部通过才可将整条标PASS</t>
        </is>
      </c>
    </row>
    <row r="6" ht="72" customHeight="1">
      <c r="A6" s="2" t="inlineStr">
        <is>
          <t>TC-AUTH-005</t>
        </is>
      </c>
      <c r="B6" s="2" t="inlineStr">
        <is>
          <t>AUTH</t>
        </is>
      </c>
      <c r="C6" s="2" t="inlineStr">
        <is>
          <t>密码复杂度和错误旧密码</t>
        </is>
      </c>
      <c r="D6" s="2" t="inlineStr">
        <is>
          <t>P0</t>
        </is>
      </c>
      <c r="E6" s="2" t="inlineStr"/>
      <c r="F6" s="2" t="inlineStr"/>
      <c r="G6" s="2" t="inlineStr">
        <is>
          <t>D01,D14</t>
        </is>
      </c>
      <c r="H6" s="2" t="inlineStr">
        <is>
          <t>按主文档第5章构建独立数据快照；测试不足12位、错误旧密码及合法新密码</t>
        </is>
      </c>
      <c r="I6" s="2" t="inlineStr">
        <is>
          <t>非法拒绝且旧凭据不变；合法修改使旧Session失效</t>
        </is>
      </c>
      <c r="J6" s="2" t="inlineStr">
        <is>
          <t>构建/环境/数据版本、请求与traceId、前后数据库一致性快照；并发附屏障时间线，故障附注入与恢复日志</t>
        </is>
      </c>
      <c r="K6" s="2" t="inlineStr">
        <is>
          <t>自动化+人工核验</t>
        </is>
      </c>
      <c r="L6" s="2" t="inlineStr">
        <is>
          <t>R3/R5</t>
        </is>
      </c>
      <c r="M6" s="2" t="inlineStr">
        <is>
          <t>《设计文档_V2.0》第10—11、附录A；业务约束见《需求分析文档_V2.0》第5—7章</t>
        </is>
      </c>
      <c r="N6" s="2" t="inlineStr">
        <is>
          <t>列举的每个边界/枚举/时刻/浏览器组合均为必测variant；每variant留runId或参数化子结果，全部通过才可将整条标PASS</t>
        </is>
      </c>
    </row>
    <row r="7" ht="72" customHeight="1">
      <c r="A7" s="2" t="inlineStr">
        <is>
          <t>TC-AUTH-006</t>
        </is>
      </c>
      <c r="B7" s="2" t="inlineStr">
        <is>
          <t>AUTH</t>
        </is>
      </c>
      <c r="C7" s="2" t="inlineStr">
        <is>
          <t>密码重置与凭据版本</t>
        </is>
      </c>
      <c r="D7" s="2" t="inlineStr">
        <is>
          <t>P0</t>
        </is>
      </c>
      <c r="E7" s="2" t="inlineStr">
        <is>
          <t>SEC-03</t>
        </is>
      </c>
      <c r="F7" s="2" t="inlineStr"/>
      <c r="G7" s="2" t="inlineStr">
        <is>
          <t>D01,D14</t>
        </is>
      </c>
      <c r="H7" s="2" t="inlineStr">
        <is>
          <t>按主文档第5章构建独立数据快照；管理员重置已在两个浏览器登录的人员</t>
        </is>
      </c>
      <c r="I7" s="2" t="inlineStr">
        <is>
          <t>只展示一次临时密码；原会话均失效；新登录需改密</t>
        </is>
      </c>
      <c r="J7" s="2" t="inlineStr">
        <is>
          <t>构建/环境/数据版本、请求与traceId、前后数据库一致性快照；并发附屏障时间线，故障附注入与恢复日志</t>
        </is>
      </c>
      <c r="K7" s="2" t="inlineStr">
        <is>
          <t>自动化+人工核验</t>
        </is>
      </c>
      <c r="L7" s="2" t="inlineStr">
        <is>
          <t>R3/R5</t>
        </is>
      </c>
      <c r="M7" s="2" t="inlineStr">
        <is>
          <t>《设计文档_V2.0》第10—11、附录A；业务约束见《需求分析文档_V2.0》第5—7章</t>
        </is>
      </c>
      <c r="N7" s="2" t="inlineStr">
        <is>
          <t>列举的每个边界/枚举/时刻/浏览器组合均为必测variant；每variant留runId或参数化子结果，全部通过才可将整条标PASS</t>
        </is>
      </c>
    </row>
    <row r="8" ht="72" customHeight="1">
      <c r="A8" s="2" t="inlineStr">
        <is>
          <t>TC-AUTH-007</t>
        </is>
      </c>
      <c r="B8" s="2" t="inlineStr">
        <is>
          <t>AUTH</t>
        </is>
      </c>
      <c r="C8" s="2" t="inlineStr">
        <is>
          <t>登录限流</t>
        </is>
      </c>
      <c r="D8" s="2" t="inlineStr">
        <is>
          <t>P0</t>
        </is>
      </c>
      <c r="E8" s="2" t="inlineStr">
        <is>
          <t>FR-01</t>
        </is>
      </c>
      <c r="F8" s="2" t="inlineStr">
        <is>
          <t>AC-01</t>
        </is>
      </c>
      <c r="G8" s="2" t="inlineStr">
        <is>
          <t>D01,D14</t>
        </is>
      </c>
      <c r="H8" s="2" t="inlineStr">
        <is>
          <t>按主文档第5章构建独立数据快照；记录配置阈值并超过阈值重试，再等待恢复</t>
        </is>
      </c>
      <c r="I8" s="2" t="inlineStr">
        <is>
          <t>达到配置阈值429；正常恢复；无凭据日志泄露</t>
        </is>
      </c>
      <c r="J8" s="2" t="inlineStr">
        <is>
          <t>构建/环境/数据版本、请求与traceId、前后数据库一致性快照；并发附屏障时间线，故障附注入与恢复日志</t>
        </is>
      </c>
      <c r="K8" s="2" t="inlineStr">
        <is>
          <t>自动化+人工核验</t>
        </is>
      </c>
      <c r="L8" s="2" t="inlineStr">
        <is>
          <t>R3/R5</t>
        </is>
      </c>
      <c r="M8" s="2" t="inlineStr">
        <is>
          <t>《设计文档_V2.0》第10—11、附录A；业务约束见《需求分析文档_V2.0》第5—7章</t>
        </is>
      </c>
      <c r="N8" s="2" t="inlineStr">
        <is>
          <t>列举的每个边界/枚举/时刻/浏览器组合均为必测variant；每variant留runId或参数化子结果，全部通过才可将整条标PASS</t>
        </is>
      </c>
    </row>
    <row r="9" ht="72" customHeight="1">
      <c r="A9" s="2" t="inlineStr">
        <is>
          <t>TC-AUTH-008</t>
        </is>
      </c>
      <c r="B9" s="2" t="inlineStr">
        <is>
          <t>AUTH</t>
        </is>
      </c>
      <c r="C9" s="2" t="inlineStr">
        <is>
          <t>停用账号与角色导航</t>
        </is>
      </c>
      <c r="D9" s="2" t="inlineStr">
        <is>
          <t>P0</t>
        </is>
      </c>
      <c r="E9" s="2" t="inlineStr">
        <is>
          <t>FR-01,FR-02,SEC-03</t>
        </is>
      </c>
      <c r="F9" s="2" t="inlineStr">
        <is>
          <t>AC-01,AC-02</t>
        </is>
      </c>
      <c r="G9" s="2" t="inlineStr">
        <is>
          <t>D01,D14</t>
        </is>
      </c>
      <c r="H9" s="2" t="inlineStr">
        <is>
          <t>按主文档第5章构建独立数据快照；停用账号登录；三角色检查导航及直接接口</t>
        </is>
      </c>
      <c r="I9" s="2" t="inlineStr">
        <is>
          <t>停用拒绝；菜单按角色；隐藏菜单不能绕过服务端权限</t>
        </is>
      </c>
      <c r="J9" s="2" t="inlineStr">
        <is>
          <t>构建/环境/数据版本、请求与traceId、前后数据库一致性快照；并发附屏障时间线，故障附注入与恢复日志</t>
        </is>
      </c>
      <c r="K9" s="2" t="inlineStr">
        <is>
          <t>自动化+人工核验</t>
        </is>
      </c>
      <c r="L9" s="2" t="inlineStr">
        <is>
          <t>R3/R5</t>
        </is>
      </c>
      <c r="M9" s="2" t="inlineStr">
        <is>
          <t>《设计文档_V2.0》第10—11、附录A；业务约束见《需求分析文档_V2.0》第5—7章</t>
        </is>
      </c>
      <c r="N9" s="2" t="inlineStr">
        <is>
          <t>列举的每个边界/枚举/时刻/浏览器组合均为必测variant；每variant留runId或参数化子结果，全部通过才可将整条标PASS</t>
        </is>
      </c>
    </row>
    <row r="10" ht="72" customHeight="1">
      <c r="A10" s="2" t="inlineStr">
        <is>
          <t>TC-CAT-001</t>
        </is>
      </c>
      <c r="B10" s="2" t="inlineStr">
        <is>
          <t>CAT</t>
        </is>
      </c>
      <c r="C10" s="2" t="inlineStr">
        <is>
          <t>当前开课班详情</t>
        </is>
      </c>
      <c r="D10" s="2" t="inlineStr">
        <is>
          <t>P0</t>
        </is>
      </c>
      <c r="E10" s="2" t="inlineStr">
        <is>
          <t>FR-04</t>
        </is>
      </c>
      <c r="F10" s="2" t="inlineStr">
        <is>
          <t>AC-03</t>
        </is>
      </c>
      <c r="G10" s="2" t="inlineStr">
        <is>
          <t>D01,D13</t>
        </is>
      </c>
      <c r="H10" s="2" t="inlineStr">
        <is>
          <t>按主文档第5章构建独立数据快照；查询当前学期开课与详情并对照只读快照</t>
        </is>
      </c>
      <c r="I10" s="2" t="inlineStr">
        <is>
          <t>课程、院系、教师、时间、先修、容量来源正确</t>
        </is>
      </c>
      <c r="J10" s="2" t="inlineStr">
        <is>
          <t>构建/环境/数据版本、请求与traceId、前后数据库一致性快照；并发附屏障时间线，故障附注入与恢复日志</t>
        </is>
      </c>
      <c r="K10" s="2" t="inlineStr">
        <is>
          <t>自动化+人工核验</t>
        </is>
      </c>
      <c r="L10" s="2" t="inlineStr">
        <is>
          <t>R3/R5</t>
        </is>
      </c>
      <c r="M10" s="2" t="inlineStr">
        <is>
          <t>《设计文档_V2.0》第5、10、12.4；业务约束见《需求分析文档_V2.0》第5—7章</t>
        </is>
      </c>
      <c r="N10" s="2" t="inlineStr">
        <is>
          <t>列举的每个边界/枚举/时刻/浏览器组合均为必测variant；每variant留runId或参数化子结果，全部通过才可将整条标PASS</t>
        </is>
      </c>
    </row>
    <row r="11" ht="72" customHeight="1">
      <c r="A11" s="2" t="inlineStr">
        <is>
          <t>TC-CAT-002</t>
        </is>
      </c>
      <c r="B11" s="2" t="inlineStr">
        <is>
          <t>CAT</t>
        </is>
      </c>
      <c r="C11" s="2" t="inlineStr">
        <is>
          <t>搜索分页空结果</t>
        </is>
      </c>
      <c r="D11" s="2" t="inlineStr">
        <is>
          <t>P0</t>
        </is>
      </c>
      <c r="E11" s="2" t="inlineStr">
        <is>
          <t>FR-04,FR-24</t>
        </is>
      </c>
      <c r="F11" s="2" t="inlineStr">
        <is>
          <t>AC-03,AC-16</t>
        </is>
      </c>
      <c r="G11" s="2" t="inlineStr">
        <is>
          <t>D01,D13</t>
        </is>
      </c>
      <c r="H11" s="2" t="inlineStr">
        <is>
          <t>按主文档第5章构建独立数据快照；关键词命中、无结果、边界页及非法页参数</t>
        </is>
      </c>
      <c r="I11" s="2" t="inlineStr">
        <is>
          <t>有效结果稳定分页；空结果明确；非法参数拒绝或规范化</t>
        </is>
      </c>
      <c r="J11" s="2" t="inlineStr">
        <is>
          <t>构建/环境/数据版本、请求与traceId、前后数据库一致性快照；并发附屏障时间线，故障附注入与恢复日志</t>
        </is>
      </c>
      <c r="K11" s="2" t="inlineStr">
        <is>
          <t>自动化+人工核验</t>
        </is>
      </c>
      <c r="L11" s="2" t="inlineStr">
        <is>
          <t>R3/R5</t>
        </is>
      </c>
      <c r="M11" s="2" t="inlineStr">
        <is>
          <t>《设计文档_V2.0》第5、10、12.4；业务约束见《需求分析文档_V2.0》第5—7章</t>
        </is>
      </c>
      <c r="N11" s="2" t="inlineStr">
        <is>
          <t>列举的每个边界/枚举/时刻/浏览器组合均为必测variant；每variant留runId或参数化子结果，全部通过才可将整条标PASS</t>
        </is>
      </c>
    </row>
    <row r="12" ht="72" customHeight="1">
      <c r="A12" s="2" t="inlineStr">
        <is>
          <t>TC-CAT-003</t>
        </is>
      </c>
      <c r="B12" s="2" t="inlineStr">
        <is>
          <t>CAT</t>
        </is>
      </c>
      <c r="C12" s="2" t="inlineStr">
        <is>
          <t>只读边界</t>
        </is>
      </c>
      <c r="D12" s="2" t="inlineStr">
        <is>
          <t>P0</t>
        </is>
      </c>
      <c r="E12" s="2" t="inlineStr">
        <is>
          <t>BR-11,FR-21</t>
        </is>
      </c>
      <c r="F12" s="2" t="inlineStr">
        <is>
          <t>AC-03</t>
        </is>
      </c>
      <c r="G12" s="2" t="inlineStr">
        <is>
          <t>D01,D13</t>
        </is>
      </c>
      <c r="H12" s="2" t="inlineStr">
        <is>
          <t>按主文档第5章构建独立数据快照；记录源库SELECT权限并完成查询、授课和选课</t>
        </is>
      </c>
      <c r="I12" s="2" t="inlineStr">
        <is>
          <t>源库无写权限无写入；名额和教师仅改本地运行表</t>
        </is>
      </c>
      <c r="J12" s="2" t="inlineStr">
        <is>
          <t>构建/环境/数据版本、请求与traceId、前后数据库一致性快照；并发附屏障时间线，故障附注入与恢复日志</t>
        </is>
      </c>
      <c r="K12" s="2" t="inlineStr">
        <is>
          <t>自动化+人工核验</t>
        </is>
      </c>
      <c r="L12" s="2" t="inlineStr">
        <is>
          <t>R3/R5</t>
        </is>
      </c>
      <c r="M12" s="2" t="inlineStr">
        <is>
          <t>《设计文档_V2.0》第5、10、12.4；业务约束见《需求分析文档_V2.0》第5—7章</t>
        </is>
      </c>
      <c r="N12" s="2" t="inlineStr">
        <is>
          <t>列举的每个边界/枚举/时刻/浏览器组合均为必测variant；每variant留runId或参数化子结果，全部通过才可将整条标PASS</t>
        </is>
      </c>
    </row>
    <row r="13" ht="72" customHeight="1">
      <c r="A13" s="2" t="inlineStr">
        <is>
          <t>TC-CAT-004</t>
        </is>
      </c>
      <c r="B13" s="2" t="inlineStr">
        <is>
          <t>CAT</t>
        </is>
      </c>
      <c r="C13" s="2" t="inlineStr">
        <is>
          <t>目录故障超时</t>
        </is>
      </c>
      <c r="D13" s="2" t="inlineStr">
        <is>
          <t>P0</t>
        </is>
      </c>
      <c r="E13" s="2" t="inlineStr">
        <is>
          <t>FR-21</t>
        </is>
      </c>
      <c r="F13" s="2" t="inlineStr">
        <is>
          <t>AC-03</t>
        </is>
      </c>
      <c r="G13" s="2" t="inlineStr">
        <is>
          <t>D01,D13</t>
        </is>
      </c>
      <c r="H13" s="2" t="inlineStr">
        <is>
          <t>按主文档第5章构建独立数据快照；隔离目录依赖和注入超过10秒延迟；区分镜像可用性</t>
        </is>
      </c>
      <c r="I13" s="2" t="inlineStr">
        <is>
          <t>分别测试完整冻结镜像可用和镜像缺失/实际源调用：前者按设计读镜像；后者依赖流程503/504终止；真实源调用&lt;=10秒；不伪报源调用成功</t>
        </is>
      </c>
      <c r="J13" s="2" t="inlineStr">
        <is>
          <t>构建/环境/数据版本、请求与traceId、前后数据库一致性快照；并发附屏障时间线，故障附注入与恢复日志</t>
        </is>
      </c>
      <c r="K13" s="2" t="inlineStr">
        <is>
          <t>自动化+人工核验</t>
        </is>
      </c>
      <c r="L13" s="2" t="inlineStr">
        <is>
          <t>R3/R5</t>
        </is>
      </c>
      <c r="M13" s="2" t="inlineStr">
        <is>
          <t>《设计文档_V2.0》第5、10、12.4；业务约束见《需求分析文档_V2.0》第5—7章</t>
        </is>
      </c>
      <c r="N13" s="2" t="inlineStr">
        <is>
          <t>列举的每个边界/枚举/时刻/浏览器组合均为必测variant；每variant留runId或参数化子结果，全部通过才可将整条标PASS</t>
        </is>
      </c>
    </row>
    <row r="14" ht="72" customHeight="1">
      <c r="A14" s="2" t="inlineStr">
        <is>
          <t>TC-CAT-005</t>
        </is>
      </c>
      <c r="B14" s="2" t="inlineStr">
        <is>
          <t>CAT</t>
        </is>
      </c>
      <c r="C14" s="2" t="inlineStr">
        <is>
          <t>缓存与快照版本</t>
        </is>
      </c>
      <c r="D14" s="2" t="inlineStr">
        <is>
          <t>P0</t>
        </is>
      </c>
      <c r="E14" s="2" t="inlineStr">
        <is>
          <t>BR-11,FR-21</t>
        </is>
      </c>
      <c r="F14" s="2" t="inlineStr">
        <is>
          <t>AC-03</t>
        </is>
      </c>
      <c r="G14" s="2" t="inlineStr">
        <is>
          <t>D01,D13</t>
        </is>
      </c>
      <c r="H14" s="2" t="inlineStr">
        <is>
          <t>按主文档第5章构建独立数据快照；在准备环境切换合法快照；观察120秒TTL和缓存键</t>
        </is>
      </c>
      <c r="I14" s="2" t="inlineStr">
        <is>
          <t>同学期冻结版本稳定；新版本无混合字段；动态名额不被静态缓存覆盖</t>
        </is>
      </c>
      <c r="J14" s="2" t="inlineStr">
        <is>
          <t>构建/环境/数据版本、请求与traceId、前后数据库一致性快照；并发附屏障时间线，故障附注入与恢复日志</t>
        </is>
      </c>
      <c r="K14" s="2" t="inlineStr">
        <is>
          <t>自动化+人工核验</t>
        </is>
      </c>
      <c r="L14" s="2" t="inlineStr">
        <is>
          <t>R3/R5</t>
        </is>
      </c>
      <c r="M14" s="2" t="inlineStr">
        <is>
          <t>《设计文档_V2.0》第5、10、12.4；业务约束见《需求分析文档_V2.0》第5—7章</t>
        </is>
      </c>
      <c r="N14" s="2" t="inlineStr">
        <is>
          <t>列举的每个边界/枚举/时刻/浏览器组合均为必测variant；每variant留runId或参数化子结果，全部通过才可将整条标PASS</t>
        </is>
      </c>
    </row>
    <row r="15" ht="72" customHeight="1">
      <c r="A15" s="2" t="inlineStr">
        <is>
          <t>TC-CAT-006</t>
        </is>
      </c>
      <c r="B15" s="2" t="inlineStr">
        <is>
          <t>CAT</t>
        </is>
      </c>
      <c r="C15" s="2" t="inlineStr">
        <is>
          <t>构建中变满提示</t>
        </is>
      </c>
      <c r="D15" s="2" t="inlineStr">
        <is>
          <t>P0</t>
        </is>
      </c>
      <c r="E15" s="2" t="inlineStr">
        <is>
          <t>BR-07,FR-25</t>
        </is>
      </c>
      <c r="F15" s="2" t="inlineStr">
        <is>
          <t>AC-06</t>
        </is>
      </c>
      <c r="G15" s="2" t="inlineStr">
        <is>
          <t>D01,D13</t>
        </is>
      </c>
      <c r="H15" s="2" t="inlineStr">
        <is>
          <t>按主文档第5章构建独立数据快照；学生选中9人班，另一学生填满后继续构建及提交</t>
        </is>
      </c>
      <c r="I15" s="2" t="inlineStr">
        <is>
          <t>提交处理前显示满员提示；正式提交仍校验并拒绝该班</t>
        </is>
      </c>
      <c r="J15" s="2" t="inlineStr">
        <is>
          <t>构建/环境/数据版本、请求与traceId、前后数据库一致性快照；并发附屏障时间线，故障附注入与恢复日志</t>
        </is>
      </c>
      <c r="K15" s="2" t="inlineStr">
        <is>
          <t>自动化+人工核验</t>
        </is>
      </c>
      <c r="L15" s="2" t="inlineStr">
        <is>
          <t>R3/R5</t>
        </is>
      </c>
      <c r="M15" s="2" t="inlineStr">
        <is>
          <t>《设计文档_V2.0》第5、10、12.4；业务约束见《需求分析文档_V2.0》第5—7章</t>
        </is>
      </c>
      <c r="N15" s="2" t="inlineStr">
        <is>
          <t>列举的每个边界/枚举/时刻/浏览器组合均为必测variant；每variant留runId或参数化子结果，全部通过才可将整条标PASS</t>
        </is>
      </c>
    </row>
    <row r="16" ht="72" customHeight="1">
      <c r="A16" s="2" t="inlineStr">
        <is>
          <t>TC-REG-001</t>
        </is>
      </c>
      <c r="B16" s="2" t="inlineStr">
        <is>
          <t>REG</t>
        </is>
      </c>
      <c r="C16" s="2" t="inlineStr">
        <is>
          <t>保存与读取草稿</t>
        </is>
      </c>
      <c r="D16" s="2" t="inlineStr">
        <is>
          <t>P0</t>
        </is>
      </c>
      <c r="E16" s="2" t="inlineStr">
        <is>
          <t>BR-06,BR-13,DATA-02,FR-05,FR-06,FR-10</t>
        </is>
      </c>
      <c r="F16" s="2" t="inlineStr">
        <is>
          <t>AC-04,AC-07</t>
        </is>
      </c>
      <c r="G16" s="2" t="inlineStr">
        <is>
          <t>D01,D02,D03,D04,D05</t>
        </is>
      </c>
      <c r="H16" s="2" t="inlineStr">
        <is>
          <t>按主文档第5章构建独立数据快照；保存4主2备并重新登录读取</t>
        </is>
      </c>
      <c r="I16" s="2" t="inlineStr">
        <is>
          <t>顺序保留；不新增ACTIVE、不改变名额；显示draftItems/enrolledItems</t>
        </is>
      </c>
      <c r="J16" s="2" t="inlineStr">
        <is>
          <t>构建/环境/数据版本、请求与traceId、前后数据库一致性快照；并发附屏障时间线，故障附注入与恢复日志</t>
        </is>
      </c>
      <c r="K16" s="2" t="inlineStr">
        <is>
          <t>自动化+人工核验</t>
        </is>
      </c>
      <c r="L16" s="2" t="inlineStr">
        <is>
          <t>R3/R5</t>
        </is>
      </c>
      <c r="M16" s="2" t="inlineStr">
        <is>
          <t>《设计文档_V2.0》第6—7；业务约束见《需求分析文档_V2.0》第5—7章</t>
        </is>
      </c>
      <c r="N16" s="2" t="inlineStr">
        <is>
          <t>列举的每个边界/枚举/时刻/浏览器组合均为必测variant；每variant留runId或参数化子结果，全部通过才可将整条标PASS</t>
        </is>
      </c>
    </row>
    <row r="17" ht="72" customHeight="1">
      <c r="A17" s="2" t="inlineStr">
        <is>
          <t>TC-REG-002</t>
        </is>
      </c>
      <c r="B17" s="2" t="inlineStr">
        <is>
          <t>REG</t>
        </is>
      </c>
      <c r="C17" s="2" t="inlineStr">
        <is>
          <t>草稿数量边界</t>
        </is>
      </c>
      <c r="D17" s="2" t="inlineStr">
        <is>
          <t>P0</t>
        </is>
      </c>
      <c r="E17" s="2" t="inlineStr">
        <is>
          <t>BR-01,FR-05,FR-06</t>
        </is>
      </c>
      <c r="F17" s="2" t="inlineStr">
        <is>
          <t>AC-04</t>
        </is>
      </c>
      <c r="G17" s="2" t="inlineStr">
        <is>
          <t>D01,D02,D03,D04,D05</t>
        </is>
      </c>
      <c r="H17" s="2" t="inlineStr">
        <is>
          <t>按主文档第5章构建独立数据快照；保存0项、4主2备以及5主或3备</t>
        </is>
      </c>
      <c r="I17" s="2" t="inlineStr">
        <is>
          <t>合法草稿保存；超限拒绝且不覆盖原草稿</t>
        </is>
      </c>
      <c r="J17" s="2" t="inlineStr">
        <is>
          <t>构建/环境/数据版本、请求与traceId、前后数据库一致性快照；并发附屏障时间线，故障附注入与恢复日志</t>
        </is>
      </c>
      <c r="K17" s="2" t="inlineStr">
        <is>
          <t>自动化+人工核验</t>
        </is>
      </c>
      <c r="L17" s="2" t="inlineStr">
        <is>
          <t>R3/R5</t>
        </is>
      </c>
      <c r="M17" s="2" t="inlineStr">
        <is>
          <t>《设计文档_V2.0》第6—7；业务约束见《需求分析文档_V2.0》第5—7章</t>
        </is>
      </c>
      <c r="N17" s="2" t="inlineStr">
        <is>
          <t>列举的每个边界/枚举/时刻/浏览器组合均为必测variant；每variant留runId或参数化子结果，全部通过才可将整条标PASS</t>
        </is>
      </c>
    </row>
    <row r="18" ht="72" customHeight="1">
      <c r="A18" s="2" t="inlineStr">
        <is>
          <t>TC-REG-003</t>
        </is>
      </c>
      <c r="B18" s="2" t="inlineStr">
        <is>
          <t>REG</t>
        </is>
      </c>
      <c r="C18" s="2" t="inlineStr">
        <is>
          <t>首次正式提交</t>
        </is>
      </c>
      <c r="D18" s="2" t="inlineStr">
        <is>
          <t>P0</t>
        </is>
      </c>
      <c r="E18" s="2" t="inlineStr">
        <is>
          <t>BR-01,BR-13,FR-07,FR-10</t>
        </is>
      </c>
      <c r="F18" s="2" t="inlineStr">
        <is>
          <t>AC-04,AC-05,AC-06,AC-07</t>
        </is>
      </c>
      <c r="G18" s="2" t="inlineStr">
        <is>
          <t>D01,D02,D03,D04,D05</t>
        </is>
      </c>
      <c r="H18" s="2" t="inlineStr">
        <is>
          <t>按主文档第5章构建独立数据快照；准备合法4主2备并提交</t>
        </is>
      </c>
      <c r="I18" s="2" t="inlineStr">
        <is>
          <t>4主ACTIVE、备选不占位；名单人数一致；正式快照更新</t>
        </is>
      </c>
      <c r="J18" s="2" t="inlineStr">
        <is>
          <t>构建/环境/数据版本、请求与traceId、前后数据库一致性快照；并发附屏障时间线，故障附注入与恢复日志</t>
        </is>
      </c>
      <c r="K18" s="2" t="inlineStr">
        <is>
          <t>自动化+人工核验</t>
        </is>
      </c>
      <c r="L18" s="2" t="inlineStr">
        <is>
          <t>R3/R5</t>
        </is>
      </c>
      <c r="M18" s="2" t="inlineStr">
        <is>
          <t>《设计文档_V2.0》第6—7；业务约束见《需求分析文档_V2.0》第5—7章</t>
        </is>
      </c>
      <c r="N18" s="2" t="inlineStr">
        <is>
          <t>列举的每个边界/枚举/时刻/浏览器组合均为必测variant；每variant留runId或参数化子结果，全部通过才可将整条标PASS</t>
        </is>
      </c>
    </row>
    <row r="19" ht="72" customHeight="1">
      <c r="A19" s="2" t="inlineStr">
        <is>
          <t>TC-REG-004</t>
        </is>
      </c>
      <c r="B19" s="2" t="inlineStr">
        <is>
          <t>REG</t>
        </is>
      </c>
      <c r="C19" s="2" t="inlineStr">
        <is>
          <t>首次数量不足</t>
        </is>
      </c>
      <c r="D19" s="2" t="inlineStr">
        <is>
          <t>P0</t>
        </is>
      </c>
      <c r="E19" s="2" t="inlineStr">
        <is>
          <t>BR-01,FR-05</t>
        </is>
      </c>
      <c r="F19" s="2" t="inlineStr">
        <is>
          <t>AC-04</t>
        </is>
      </c>
      <c r="G19" s="2" t="inlineStr">
        <is>
          <t>D01,D02,D03,D04,D05</t>
        </is>
      </c>
      <c r="H19" s="2" t="inlineStr">
        <is>
          <t>按主文档第5章构建独立数据快照；新建或DELETED后重建提交3主2备及4主1备</t>
        </is>
      </c>
      <c r="I19" s="2" t="inlineStr">
        <is>
          <t>拒绝；首次或重建必须恰好4主2备</t>
        </is>
      </c>
      <c r="J19" s="2" t="inlineStr">
        <is>
          <t>构建/环境/数据版本、请求与traceId、前后数据库一致性快照；并发附屏障时间线，故障附注入与恢复日志</t>
        </is>
      </c>
      <c r="K19" s="2" t="inlineStr">
        <is>
          <t>自动化+人工核验</t>
        </is>
      </c>
      <c r="L19" s="2" t="inlineStr">
        <is>
          <t>R3/R5</t>
        </is>
      </c>
      <c r="M19" s="2" t="inlineStr">
        <is>
          <t>《设计文档_V2.0》第6—7；业务约束见《需求分析文档_V2.0》第5—7章</t>
        </is>
      </c>
      <c r="N19" s="2" t="inlineStr">
        <is>
          <t>列举的每个边界/枚举/时刻/浏览器组合均为必测variant；每variant留runId或参数化子结果，全部通过才可将整条标PASS</t>
        </is>
      </c>
    </row>
    <row r="20" ht="72" customHeight="1">
      <c r="A20" s="2" t="inlineStr">
        <is>
          <t>TC-REG-005</t>
        </is>
      </c>
      <c r="B20" s="2" t="inlineStr">
        <is>
          <t>REG</t>
        </is>
      </c>
      <c r="C20" s="2" t="inlineStr">
        <is>
          <t>重复班与同课程</t>
        </is>
      </c>
      <c r="D20" s="2" t="inlineStr">
        <is>
          <t>P0</t>
        </is>
      </c>
      <c r="E20" s="2" t="inlineStr">
        <is>
          <t>BR-12,BR-13,FR-07</t>
        </is>
      </c>
      <c r="F20" s="2" t="inlineStr">
        <is>
          <t>AC-05,AC-06</t>
        </is>
      </c>
      <c r="G20" s="2" t="inlineStr">
        <is>
          <t>D01,D02,D03,D04,D05</t>
        </is>
      </c>
      <c r="H20" s="2" t="inlineStr">
        <is>
          <t>按主文档第5章构建独立数据快照；提交重复offering、同课程两个主选；备选同课程另一班</t>
        </is>
      </c>
      <c r="I20" s="2" t="inlineStr">
        <is>
          <t>重复班和正式同课程拒绝；合法同课程备选可保存</t>
        </is>
      </c>
      <c r="J20" s="2" t="inlineStr">
        <is>
          <t>构建/环境/数据版本、请求与traceId、前后数据库一致性快照；并发附屏障时间线，故障附注入与恢复日志</t>
        </is>
      </c>
      <c r="K20" s="2" t="inlineStr">
        <is>
          <t>自动化+人工核验</t>
        </is>
      </c>
      <c r="L20" s="2" t="inlineStr">
        <is>
          <t>R3/R5</t>
        </is>
      </c>
      <c r="M20" s="2" t="inlineStr">
        <is>
          <t>《设计文档_V2.0》第6—7；业务约束见《需求分析文档_V2.0》第5—7章</t>
        </is>
      </c>
      <c r="N20" s="2" t="inlineStr">
        <is>
          <t>列举的每个边界/枚举/时刻/浏览器组合均为必测variant；每variant留runId或参数化子结果，全部通过才可将整条标PASS</t>
        </is>
      </c>
    </row>
    <row r="21" ht="72" customHeight="1">
      <c r="A21" s="2" t="inlineStr">
        <is>
          <t>TC-REG-006</t>
        </is>
      </c>
      <c r="B21" s="2" t="inlineStr">
        <is>
          <t>REG</t>
        </is>
      </c>
      <c r="C21" s="2" t="inlineStr">
        <is>
          <t>先修成绩判定</t>
        </is>
      </c>
      <c r="D21" s="2" t="inlineStr">
        <is>
          <t>P0</t>
        </is>
      </c>
      <c r="E21" s="2" t="inlineStr">
        <is>
          <t>BR-03,FR-07</t>
        </is>
      </c>
      <c r="F21" s="2" t="inlineStr">
        <is>
          <t>AC-05,AC-06</t>
        </is>
      </c>
      <c r="G21" s="2" t="inlineStr">
        <is>
          <t>D01,D02,D03,D04,D05</t>
        </is>
      </c>
      <c r="H21" s="2" t="inlineStr">
        <is>
          <t>按主文档第5章构建独立数据快照；分别用A/B/C/D/F/I/null及未完成学期记录提交</t>
        </is>
      </c>
      <c r="I21" s="2" t="inlineStr">
        <is>
          <t>仅以前COMPLETED学期A-D满足先修；失败全量回滚</t>
        </is>
      </c>
      <c r="J21" s="2" t="inlineStr">
        <is>
          <t>构建/环境/数据版本、请求与traceId、前后数据库一致性快照；并发附屏障时间线，故障附注入与恢复日志</t>
        </is>
      </c>
      <c r="K21" s="2" t="inlineStr">
        <is>
          <t>自动化+人工核验</t>
        </is>
      </c>
      <c r="L21" s="2" t="inlineStr">
        <is>
          <t>R3/R5</t>
        </is>
      </c>
      <c r="M21" s="2" t="inlineStr">
        <is>
          <t>《设计文档_V2.0》第6—7；业务约束见《需求分析文档_V2.0》第5—7章</t>
        </is>
      </c>
      <c r="N21" s="2" t="inlineStr">
        <is>
          <t>列举的每个边界/枚举/时刻/浏览器组合均为必测variant；每variant留runId或参数化子结果，全部通过才可将整条标PASS</t>
        </is>
      </c>
    </row>
    <row r="22" ht="72" customHeight="1">
      <c r="A22" s="2" t="inlineStr">
        <is>
          <t>TC-REG-007</t>
        </is>
      </c>
      <c r="B22" s="2" t="inlineStr">
        <is>
          <t>REG</t>
        </is>
      </c>
      <c r="C22" s="2" t="inlineStr">
        <is>
          <t>先修稳定课程身份</t>
        </is>
      </c>
      <c r="D22" s="2" t="inlineStr">
        <is>
          <t>P0</t>
        </is>
      </c>
      <c r="E22" s="2" t="inlineStr">
        <is>
          <t>BR-03,FR-07</t>
        </is>
      </c>
      <c r="F22" s="2" t="inlineStr">
        <is>
          <t>AC-05,AC-06</t>
        </is>
      </c>
      <c r="G22" s="2" t="inlineStr">
        <is>
          <t>D01,D02,D03,D04,D05</t>
        </is>
      </c>
      <c r="H22" s="2" t="inlineStr">
        <is>
          <t>按主文档第5章构建独立数据快照；换目录快照保留course_id；设置多个必修先修</t>
        </is>
      </c>
      <c r="I22" s="2" t="inlineStr">
        <is>
          <t>稳定ID匹配；所有先修同时满足才通过；无隐含等价豁免</t>
        </is>
      </c>
      <c r="J22" s="2" t="inlineStr">
        <is>
          <t>构建/环境/数据版本、请求与traceId、前后数据库一致性快照；并发附屏障时间线，故障附注入与恢复日志</t>
        </is>
      </c>
      <c r="K22" s="2" t="inlineStr">
        <is>
          <t>自动化+人工核验</t>
        </is>
      </c>
      <c r="L22" s="2" t="inlineStr">
        <is>
          <t>R3/R5</t>
        </is>
      </c>
      <c r="M22" s="2" t="inlineStr">
        <is>
          <t>《设计文档_V2.0》第6—7；业务约束见《需求分析文档_V2.0》第5—7章</t>
        </is>
      </c>
      <c r="N22" s="2" t="inlineStr">
        <is>
          <t>列举的每个边界/枚举/时刻/浏览器组合均为必测variant；每variant留runId或参数化子结果，全部通过才可将整条标PASS</t>
        </is>
      </c>
    </row>
    <row r="23" ht="72" customHeight="1">
      <c r="A23" s="2" t="inlineStr">
        <is>
          <t>TC-REG-008</t>
        </is>
      </c>
      <c r="B23" s="2" t="inlineStr">
        <is>
          <t>REG</t>
        </is>
      </c>
      <c r="C23" s="2" t="inlineStr">
        <is>
          <t>时间段冲突边界</t>
        </is>
      </c>
      <c r="D23" s="2" t="inlineStr">
        <is>
          <t>P0</t>
        </is>
      </c>
      <c r="E23" s="2" t="inlineStr">
        <is>
          <t>BR-04,FR-07</t>
        </is>
      </c>
      <c r="F23" s="2" t="inlineStr">
        <is>
          <t>AC-05,AC-06</t>
        </is>
      </c>
      <c r="G23" s="2" t="inlineStr">
        <is>
          <t>D01,D02,D03,D04,D05</t>
        </is>
      </c>
      <c r="H23" s="2" t="inlineStr">
        <is>
          <t>按主文档第5章构建独立数据快照；相邻、重叠、不同日期、不重叠教学周分别提交</t>
        </is>
      </c>
      <c r="I23" s="2" t="inlineStr">
        <is>
          <t>相邻可通过；实际日期星期周掩码交集的重叠拒绝</t>
        </is>
      </c>
      <c r="J23" s="2" t="inlineStr">
        <is>
          <t>构建/环境/数据版本、请求与traceId、前后数据库一致性快照；并发附屏障时间线，故障附注入与恢复日志</t>
        </is>
      </c>
      <c r="K23" s="2" t="inlineStr">
        <is>
          <t>自动化+人工核验</t>
        </is>
      </c>
      <c r="L23" s="2" t="inlineStr">
        <is>
          <t>R3/R5</t>
        </is>
      </c>
      <c r="M23" s="2" t="inlineStr">
        <is>
          <t>《设计文档_V2.0》第6—7；业务约束见《需求分析文档_V2.0》第5—7章</t>
        </is>
      </c>
      <c r="N23" s="2" t="inlineStr">
        <is>
          <t>列举的每个边界/枚举/时刻/浏览器组合均为必测variant；每variant留runId或参数化子结果，全部通过才可将整条标PASS</t>
        </is>
      </c>
    </row>
    <row r="24" ht="72" customHeight="1">
      <c r="A24" s="2" t="inlineStr">
        <is>
          <t>TC-REG-009</t>
        </is>
      </c>
      <c r="B24" s="2" t="inlineStr">
        <is>
          <t>REG</t>
        </is>
      </c>
      <c r="C24" s="2" t="inlineStr">
        <is>
          <t>教学周及跨夜非法输入</t>
        </is>
      </c>
      <c r="D24" s="2" t="inlineStr">
        <is>
          <t>P0</t>
        </is>
      </c>
      <c r="E24" s="2" t="inlineStr">
        <is>
          <t>BR-04,FR-07</t>
        </is>
      </c>
      <c r="F24" s="2" t="inlineStr">
        <is>
          <t>AC-05,AC-06</t>
        </is>
      </c>
      <c r="G24" s="2" t="inlineStr">
        <is>
          <t>D01,D02,D03,D04,D05</t>
        </is>
      </c>
      <c r="H24" s="2" t="inlineStr">
        <is>
          <t>按主文档第5章构建独立数据快照；校验week1周一、null全周、128周边界、非法掩码、跨夜段</t>
        </is>
      </c>
      <c r="I24" s="2" t="inlineStr">
        <is>
          <t>合法边界按设计解析；非法目录数据在准备阶段拒绝并定位</t>
        </is>
      </c>
      <c r="J24" s="2" t="inlineStr">
        <is>
          <t>构建/环境/数据版本、请求与traceId、前后数据库一致性快照；并发附屏障时间线，故障附注入与恢复日志</t>
        </is>
      </c>
      <c r="K24" s="2" t="inlineStr">
        <is>
          <t>自动化+人工核验</t>
        </is>
      </c>
      <c r="L24" s="2" t="inlineStr">
        <is>
          <t>R3/R5</t>
        </is>
      </c>
      <c r="M24" s="2" t="inlineStr">
        <is>
          <t>《设计文档_V2.0》第6—7；业务约束见《需求分析文档_V2.0》第5—7章</t>
        </is>
      </c>
      <c r="N24" s="2" t="inlineStr">
        <is>
          <t>列举的每个边界/枚举/时刻/浏览器组合均为必测variant；每variant留runId或参数化子结果，全部通过才可将整条标PASS</t>
        </is>
      </c>
    </row>
    <row r="25" ht="72" customHeight="1">
      <c r="A25" s="2" t="inlineStr">
        <is>
          <t>TC-REG-010</t>
        </is>
      </c>
      <c r="B25" s="2" t="inlineStr">
        <is>
          <t>REG</t>
        </is>
      </c>
      <c r="C25" s="2" t="inlineStr">
        <is>
          <t>容量不足原子失败</t>
        </is>
      </c>
      <c r="D25" s="2" t="inlineStr">
        <is>
          <t>P0</t>
        </is>
      </c>
      <c r="E25" s="2" t="inlineStr">
        <is>
          <t>BR-02,BR-07,FR-07,FR-25</t>
        </is>
      </c>
      <c r="F25" s="2" t="inlineStr">
        <is>
          <t>AC-05,AC-06</t>
        </is>
      </c>
      <c r="G25" s="2" t="inlineStr">
        <is>
          <t>D01,D02,D03,D04,D05</t>
        </is>
      </c>
      <c r="H25" s="2" t="inlineStr">
        <is>
          <t>按主文档第5章构建独立数据快照；四个主选中一班已满，提交前后核对全部班</t>
        </is>
      </c>
      <c r="I25" s="2" t="inlineStr">
        <is>
          <t>409容量失败；无部分注册、无名额残留、旧正式课表不变</t>
        </is>
      </c>
      <c r="J25" s="2" t="inlineStr">
        <is>
          <t>构建/环境/数据版本、请求与traceId、前后数据库一致性快照；并发附屏障时间线，故障附注入与恢复日志</t>
        </is>
      </c>
      <c r="K25" s="2" t="inlineStr">
        <is>
          <t>自动化+人工核验</t>
        </is>
      </c>
      <c r="L25" s="2" t="inlineStr">
        <is>
          <t>R3/R5</t>
        </is>
      </c>
      <c r="M25" s="2" t="inlineStr">
        <is>
          <t>《设计文档_V2.0》第6—7；业务约束见《需求分析文档_V2.0》第5—7章</t>
        </is>
      </c>
      <c r="N25" s="2" t="inlineStr">
        <is>
          <t>列举的每个边界/枚举/时刻/浏览器组合均为必测variant；每variant留runId或参数化子结果，全部通过才可将整条标PASS</t>
        </is>
      </c>
    </row>
    <row r="26" ht="72" customHeight="1">
      <c r="A26" s="2" t="inlineStr">
        <is>
          <t>TC-REG-011</t>
        </is>
      </c>
      <c r="B26" s="2" t="inlineStr">
        <is>
          <t>REG</t>
        </is>
      </c>
      <c r="C26" s="2" t="inlineStr">
        <is>
          <t>增退课及零门课程</t>
        </is>
      </c>
      <c r="D26" s="2" t="inlineStr">
        <is>
          <t>P0</t>
        </is>
      </c>
      <c r="E26" s="2" t="inlineStr">
        <is>
          <t>BR-01,FR-08,FR-10</t>
        </is>
      </c>
      <c r="F26" s="2" t="inlineStr">
        <is>
          <t>AC-04,AC-07</t>
        </is>
      </c>
      <c r="G26" s="2" t="inlineStr">
        <is>
          <t>D01,D02,D03,D04,D05</t>
        </is>
      </c>
      <c r="H26" s="2" t="inlineStr">
        <is>
          <t>按主文档第5章构建独立数据快照；首次成功后增退至0-4主0-2备</t>
        </is>
      </c>
      <c r="I26" s="2" t="inlineStr">
        <is>
          <t>合法调整原子更新正式课表和人数；允许最终零门</t>
        </is>
      </c>
      <c r="J26" s="2" t="inlineStr">
        <is>
          <t>构建/环境/数据版本、请求与traceId、前后数据库一致性快照；并发附屏障时间线，故障附注入与恢复日志</t>
        </is>
      </c>
      <c r="K26" s="2" t="inlineStr">
        <is>
          <t>自动化+人工核验</t>
        </is>
      </c>
      <c r="L26" s="2" t="inlineStr">
        <is>
          <t>R3/R5</t>
        </is>
      </c>
      <c r="M26" s="2" t="inlineStr">
        <is>
          <t>《设计文档_V2.0》第6—7；业务约束见《需求分析文档_V2.0》第5—7章</t>
        </is>
      </c>
      <c r="N26" s="2" t="inlineStr">
        <is>
          <t>列举的每个边界/枚举/时刻/浏览器组合均为必测variant；每variant留runId或参数化子结果，全部通过才可将整条标PASS</t>
        </is>
      </c>
    </row>
    <row r="27" ht="72" customHeight="1">
      <c r="A27" s="2" t="inlineStr">
        <is>
          <t>TC-REG-012</t>
        </is>
      </c>
      <c r="B27" s="2" t="inlineStr">
        <is>
          <t>REG</t>
        </is>
      </c>
      <c r="C27" s="2" t="inlineStr">
        <is>
          <t>删除与确认取消</t>
        </is>
      </c>
      <c r="D27" s="2" t="inlineStr">
        <is>
          <t>P0</t>
        </is>
      </c>
      <c r="E27" s="2" t="inlineStr">
        <is>
          <t>BR-12,BR-14,FR-09,FR-10</t>
        </is>
      </c>
      <c r="F27" s="2" t="inlineStr">
        <is>
          <t>AC-04,AC-07</t>
        </is>
      </c>
      <c r="G27" s="2" t="inlineStr">
        <is>
          <t>D01,D02,D03,D04,D05</t>
        </is>
      </c>
      <c r="H27" s="2" t="inlineStr">
        <is>
          <t>按主文档第5章构建独立数据快照；取消UI确认；确认删除；再按首次规则重建</t>
        </is>
      </c>
      <c r="I27" s="2" t="inlineStr">
        <is>
          <t>取消无变化；删除释放名额且保留DELETED历史；重建不重复计数；复用原first_submitted_at，重建不重置关闭排序</t>
        </is>
      </c>
      <c r="J27" s="2" t="inlineStr">
        <is>
          <t>构建/环境/数据版本、请求与traceId、前后数据库一致性快照；并发附屏障时间线，故障附注入与恢复日志</t>
        </is>
      </c>
      <c r="K27" s="2" t="inlineStr">
        <is>
          <t>自动化+人工核验</t>
        </is>
      </c>
      <c r="L27" s="2" t="inlineStr">
        <is>
          <t>R3/R5</t>
        </is>
      </c>
      <c r="M27" s="2" t="inlineStr">
        <is>
          <t>《设计文档_V2.0》第6—7；业务约束见《需求分析文档_V2.0》第5—7章</t>
        </is>
      </c>
      <c r="N27" s="2" t="inlineStr">
        <is>
          <t>列举的每个边界/枚举/时刻/浏览器组合均为必测variant；每variant留runId或参数化子结果，全部通过才可将整条标PASS</t>
        </is>
      </c>
    </row>
    <row r="28" ht="72" customHeight="1">
      <c r="A28" s="2" t="inlineStr">
        <is>
          <t>TC-REG-013</t>
        </is>
      </c>
      <c r="B28" s="2" t="inlineStr">
        <is>
          <t>REG</t>
        </is>
      </c>
      <c r="C28" s="2" t="inlineStr">
        <is>
          <t>草稿不污染关闭输入</t>
        </is>
      </c>
      <c r="D28" s="2" t="inlineStr">
        <is>
          <t>P0</t>
        </is>
      </c>
      <c r="E28" s="2" t="inlineStr">
        <is>
          <t>BR-06,DATA-02,FR-06,FR-10</t>
        </is>
      </c>
      <c r="F28" s="2" t="inlineStr">
        <is>
          <t>AC-04,AC-07</t>
        </is>
      </c>
      <c r="G28" s="2" t="inlineStr">
        <is>
          <t>D01,D02,D03,D04,D05</t>
        </is>
      </c>
      <c r="H28" s="2" t="inlineStr">
        <is>
          <t>按主文档第5章构建独立数据快照；提交后另存不同草稿再关闭</t>
        </is>
      </c>
      <c r="I28" s="2" t="inlineStr">
        <is>
          <t>关闭采用submitted_choices_json及正式注册；未提交草稿不产生计费</t>
        </is>
      </c>
      <c r="J28" s="2" t="inlineStr">
        <is>
          <t>构建/环境/数据版本、请求与traceId、前后数据库一致性快照；并发附屏障时间线，故障附注入与恢复日志</t>
        </is>
      </c>
      <c r="K28" s="2" t="inlineStr">
        <is>
          <t>自动化+人工核验</t>
        </is>
      </c>
      <c r="L28" s="2" t="inlineStr">
        <is>
          <t>R3/R5</t>
        </is>
      </c>
      <c r="M28" s="2" t="inlineStr">
        <is>
          <t>《设计文档_V2.0》第6—7；业务约束见《需求分析文档_V2.0》第5—7章</t>
        </is>
      </c>
      <c r="N28" s="2" t="inlineStr">
        <is>
          <t>列举的每个边界/枚举/时刻/浏览器组合均为必测variant；每variant留runId或参数化子结果，全部通过才可将整条标PASS</t>
        </is>
      </c>
    </row>
    <row r="29" ht="72" customHeight="1">
      <c r="A29" s="2" t="inlineStr">
        <is>
          <t>TC-REG-014</t>
        </is>
      </c>
      <c r="B29" s="2" t="inlineStr">
        <is>
          <t>REG</t>
        </is>
      </c>
      <c r="C29" s="2" t="inlineStr">
        <is>
          <t>窗口时刻边界</t>
        </is>
      </c>
      <c r="D29" s="2" t="inlineStr">
        <is>
          <t>P0</t>
        </is>
      </c>
      <c r="E29" s="2" t="inlineStr">
        <is>
          <t>BR-05,FR-08</t>
        </is>
      </c>
      <c r="F29" s="2" t="inlineStr">
        <is>
          <t>AC-07</t>
        </is>
      </c>
      <c r="G29" s="2" t="inlineStr">
        <is>
          <t>D01,D02,D03,D04,D05</t>
        </is>
      </c>
      <c r="H29" s="2" t="inlineStr">
        <is>
          <t>按主文档第5章构建独立数据快照；应用时钟置注册及增退窗口起止前后毫秒</t>
        </is>
      </c>
      <c r="I29" s="2" t="inlineStr">
        <is>
          <t>起点含、终点不含；选课与增退适用各自窗口；拒绝不变</t>
        </is>
      </c>
      <c r="J29" s="2" t="inlineStr">
        <is>
          <t>构建/环境/数据版本、请求与traceId、前后数据库一致性快照；并发附屏障时间线，故障附注入与恢复日志</t>
        </is>
      </c>
      <c r="K29" s="2" t="inlineStr">
        <is>
          <t>自动化+人工核验</t>
        </is>
      </c>
      <c r="L29" s="2" t="inlineStr">
        <is>
          <t>R3/R5</t>
        </is>
      </c>
      <c r="M29" s="2" t="inlineStr">
        <is>
          <t>《设计文档_V2.0》第6—7；业务约束见《需求分析文档_V2.0》第5—7章</t>
        </is>
      </c>
      <c r="N29" s="2" t="inlineStr">
        <is>
          <t>列举的每个边界/枚举/时刻/浏览器组合均为必测variant；每variant留runId或参数化子结果，全部通过才可将整条标PASS</t>
        </is>
      </c>
    </row>
    <row r="30" ht="72" customHeight="1">
      <c r="A30" s="2" t="inlineStr">
        <is>
          <t>TC-REG-015</t>
        </is>
      </c>
      <c r="B30" s="2" t="inlineStr">
        <is>
          <t>REG</t>
        </is>
      </c>
      <c r="C30" s="2" t="inlineStr">
        <is>
          <t>乐观锁过期</t>
        </is>
      </c>
      <c r="D30" s="2" t="inlineStr">
        <is>
          <t>P0</t>
        </is>
      </c>
      <c r="E30" s="2" t="inlineStr">
        <is>
          <t>FR-07,FR-08</t>
        </is>
      </c>
      <c r="F30" s="2" t="inlineStr">
        <is>
          <t>AC-05,AC-06,AC-07</t>
        </is>
      </c>
      <c r="G30" s="2" t="inlineStr">
        <is>
          <t>D01,D02,D03,D04,D05</t>
        </is>
      </c>
      <c r="H30" s="2" t="inlineStr">
        <is>
          <t>按主文档第5章构建独立数据快照；两个客户端读同version，先后提交不同修改</t>
        </is>
      </c>
      <c r="I30" s="2" t="inlineStr">
        <is>
          <t>仅有效版本成功；后者409版本冲突并可重新读取</t>
        </is>
      </c>
      <c r="J30" s="2" t="inlineStr">
        <is>
          <t>构建/环境/数据版本、请求与traceId、前后数据库一致性快照；并发附屏障时间线，故障附注入与恢复日志</t>
        </is>
      </c>
      <c r="K30" s="2" t="inlineStr">
        <is>
          <t>自动化+人工核验</t>
        </is>
      </c>
      <c r="L30" s="2" t="inlineStr">
        <is>
          <t>R3/R5</t>
        </is>
      </c>
      <c r="M30" s="2" t="inlineStr">
        <is>
          <t>《设计文档_V2.0》第6—7；业务约束见《需求分析文档_V2.0》第5—7章</t>
        </is>
      </c>
      <c r="N30" s="2" t="inlineStr">
        <is>
          <t>列举的每个边界/枚举/时刻/浏览器组合均为必测variant；每variant留runId或参数化子结果，全部通过才可将整条标PASS</t>
        </is>
      </c>
    </row>
    <row r="31" ht="72" customHeight="1">
      <c r="A31" s="2" t="inlineStr">
        <is>
          <t>TC-REG-016</t>
        </is>
      </c>
      <c r="B31" s="2" t="inlineStr">
        <is>
          <t>REG</t>
        </is>
      </c>
      <c r="C31" s="2" t="inlineStr">
        <is>
          <t>幂等提交及内容冲突</t>
        </is>
      </c>
      <c r="D31" s="2" t="inlineStr">
        <is>
          <t>P0</t>
        </is>
      </c>
      <c r="E31" s="2" t="inlineStr">
        <is>
          <t>BR-12,BR-14,DATA-01,FR-07</t>
        </is>
      </c>
      <c r="F31" s="2" t="inlineStr">
        <is>
          <t>AC-05,AC-06</t>
        </is>
      </c>
      <c r="G31" s="2" t="inlineStr">
        <is>
          <t>D01,D02,D03,D04,D05</t>
        </is>
      </c>
      <c r="H31" s="2" t="inlineStr">
        <is>
          <t>按主文档第5章构建独立数据快照；相同key与payload重放，再用同key不同payload</t>
        </is>
      </c>
      <c r="I31" s="2" t="inlineStr">
        <is>
          <t>成功结果先于版本检查重放；无重复注册；不同内容409</t>
        </is>
      </c>
      <c r="J31" s="2" t="inlineStr">
        <is>
          <t>构建/环境/数据版本、请求与traceId、前后数据库一致性快照；并发附屏障时间线，故障附注入与恢复日志</t>
        </is>
      </c>
      <c r="K31" s="2" t="inlineStr">
        <is>
          <t>自动化+人工核验</t>
        </is>
      </c>
      <c r="L31" s="2" t="inlineStr">
        <is>
          <t>R3/R5</t>
        </is>
      </c>
      <c r="M31" s="2" t="inlineStr">
        <is>
          <t>《设计文档_V2.0》第6—7；业务约束见《需求分析文档_V2.0》第5—7章</t>
        </is>
      </c>
      <c r="N31" s="2" t="inlineStr">
        <is>
          <t>列举的每个边界/枚举/时刻/浏览器组合均为必测variant；每variant留runId或参数化子结果，全部通过才可将整条标PASS</t>
        </is>
      </c>
    </row>
    <row r="32" ht="72" customHeight="1">
      <c r="A32" s="2" t="inlineStr">
        <is>
          <t>TC-TEA-001</t>
        </is>
      </c>
      <c r="B32" s="2" t="inlineStr">
        <is>
          <t>TEA</t>
        </is>
      </c>
      <c r="C32" s="2" t="inlineStr">
        <is>
          <t>查询资格并选择授课</t>
        </is>
      </c>
      <c r="D32" s="2" t="inlineStr">
        <is>
          <t>P0</t>
        </is>
      </c>
      <c r="E32" s="2" t="inlineStr">
        <is>
          <t>BR-11,FR-11,FR-12</t>
        </is>
      </c>
      <c r="F32" s="2" t="inlineStr">
        <is>
          <t>AC-08</t>
        </is>
      </c>
      <c r="G32" s="2" t="inlineStr">
        <is>
          <t>D01,D03</t>
        </is>
      </c>
      <c r="H32" s="2" t="inlineStr">
        <is>
          <t>按主文档第5章构建独立数据快照；合资格教师读取可教课程并选无人任教班</t>
        </is>
      </c>
      <c r="I32" s="2" t="inlineStr">
        <is>
          <t>唯一教师关联保存；名单和目录投影正确</t>
        </is>
      </c>
      <c r="J32" s="2" t="inlineStr">
        <is>
          <t>构建/环境/数据版本、请求与traceId、前后数据库一致性快照；并发附屏障时间线，故障附注入与恢复日志</t>
        </is>
      </c>
      <c r="K32" s="2" t="inlineStr">
        <is>
          <t>自动化+人工核验</t>
        </is>
      </c>
      <c r="L32" s="2" t="inlineStr">
        <is>
          <t>R2/R4</t>
        </is>
      </c>
      <c r="M32" s="2" t="inlineStr">
        <is>
          <t>《设计文档_V2.0》第6—7、10.2；业务约束见《需求分析文档_V2.0》第5—7章</t>
        </is>
      </c>
      <c r="N32" s="2" t="inlineStr">
        <is>
          <t>列举的每个边界/枚举/时刻/浏览器组合均为必测variant；每variant留runId或参数化子结果，全部通过才可将整条标PASS</t>
        </is>
      </c>
    </row>
    <row r="33" ht="72" customHeight="1">
      <c r="A33" s="2" t="inlineStr">
        <is>
          <t>TC-TEA-002</t>
        </is>
      </c>
      <c r="B33" s="2" t="inlineStr">
        <is>
          <t>TEA</t>
        </is>
      </c>
      <c r="C33" s="2" t="inlineStr">
        <is>
          <t>无资格及已有教师</t>
        </is>
      </c>
      <c r="D33" s="2" t="inlineStr">
        <is>
          <t>P0</t>
        </is>
      </c>
      <c r="E33" s="2" t="inlineStr">
        <is>
          <t>FR-11,FR-12</t>
        </is>
      </c>
      <c r="F33" s="2" t="inlineStr">
        <is>
          <t>AC-08</t>
        </is>
      </c>
      <c r="G33" s="2" t="inlineStr">
        <is>
          <t>D01,D03</t>
        </is>
      </c>
      <c r="H33" s="2" t="inlineStr">
        <is>
          <t>按主文档第5章构建独立数据快照；无资格教师选班；另教师选已占班</t>
        </is>
      </c>
      <c r="I33" s="2" t="inlineStr">
        <is>
          <t>明确拒绝；不得覆盖已有归属</t>
        </is>
      </c>
      <c r="J33" s="2" t="inlineStr">
        <is>
          <t>构建/环境/数据版本、请求与traceId、前后数据库一致性快照；并发附屏障时间线，故障附注入与恢复日志</t>
        </is>
      </c>
      <c r="K33" s="2" t="inlineStr">
        <is>
          <t>自动化+人工核验</t>
        </is>
      </c>
      <c r="L33" s="2" t="inlineStr">
        <is>
          <t>R2/R4</t>
        </is>
      </c>
      <c r="M33" s="2" t="inlineStr">
        <is>
          <t>《设计文档_V2.0》第6—7、10.2；业务约束见《需求分析文档_V2.0》第5—7章</t>
        </is>
      </c>
      <c r="N33" s="2" t="inlineStr">
        <is>
          <t>列举的每个边界/枚举/时刻/浏览器组合均为必测variant；每variant留runId或参数化子结果，全部通过才可将整条标PASS</t>
        </is>
      </c>
    </row>
    <row r="34" ht="72" customHeight="1">
      <c r="A34" s="2" t="inlineStr">
        <is>
          <t>TC-TEA-003</t>
        </is>
      </c>
      <c r="B34" s="2" t="inlineStr">
        <is>
          <t>TEA</t>
        </is>
      </c>
      <c r="C34" s="2" t="inlineStr">
        <is>
          <t>授课冲突</t>
        </is>
      </c>
      <c r="D34" s="2" t="inlineStr">
        <is>
          <t>P0</t>
        </is>
      </c>
      <c r="E34" s="2" t="inlineStr">
        <is>
          <t>BR-04,FR-12</t>
        </is>
      </c>
      <c r="F34" s="2" t="inlineStr">
        <is>
          <t>AC-08</t>
        </is>
      </c>
      <c r="G34" s="2" t="inlineStr">
        <is>
          <t>D01,D03</t>
        </is>
      </c>
      <c r="H34" s="2" t="inlineStr">
        <is>
          <t>按主文档第5章构建独立数据快照；选实际时间冲突班及相邻无冲突班</t>
        </is>
      </c>
      <c r="I34" s="2" t="inlineStr">
        <is>
          <t>冲突班拒绝指出原因；相邻班允许</t>
        </is>
      </c>
      <c r="J34" s="2" t="inlineStr">
        <is>
          <t>构建/环境/数据版本、请求与traceId、前后数据库一致性快照；并发附屏障时间线，故障附注入与恢复日志</t>
        </is>
      </c>
      <c r="K34" s="2" t="inlineStr">
        <is>
          <t>自动化+人工核验</t>
        </is>
      </c>
      <c r="L34" s="2" t="inlineStr">
        <is>
          <t>R2/R4</t>
        </is>
      </c>
      <c r="M34" s="2" t="inlineStr">
        <is>
          <t>《设计文档_V2.0》第6—7、10.2；业务约束见《需求分析文档_V2.0》第5—7章</t>
        </is>
      </c>
      <c r="N34" s="2" t="inlineStr">
        <is>
          <t>列举的每个边界/枚举/时刻/浏览器组合均为必测variant；每variant留runId或参数化子结果，全部通过才可将整条标PASS</t>
        </is>
      </c>
    </row>
    <row r="35" ht="72" customHeight="1">
      <c r="A35" s="2" t="inlineStr">
        <is>
          <t>TC-TEA-004</t>
        </is>
      </c>
      <c r="B35" s="2" t="inlineStr">
        <is>
          <t>TEA</t>
        </is>
      </c>
      <c r="C35" s="2" t="inlineStr">
        <is>
          <t>取消及替换原子性</t>
        </is>
      </c>
      <c r="D35" s="2" t="inlineStr">
        <is>
          <t>P0</t>
        </is>
      </c>
      <c r="E35" s="2" t="inlineStr">
        <is>
          <t>FR-12</t>
        </is>
      </c>
      <c r="F35" s="2" t="inlineStr">
        <is>
          <t>AC-08</t>
        </is>
      </c>
      <c r="G35" s="2" t="inlineStr">
        <is>
          <t>D01,D03</t>
        </is>
      </c>
      <c r="H35" s="2" t="inlineStr">
        <is>
          <t>按主文档第5章构建独立数据快照；取消已有班；以冲突目标替换原班</t>
        </is>
      </c>
      <c r="I35" s="2" t="inlineStr">
        <is>
          <t>合法取消成功；替换失败保留原授课</t>
        </is>
      </c>
      <c r="J35" s="2" t="inlineStr">
        <is>
          <t>构建/环境/数据版本、请求与traceId、前后数据库一致性快照；并发附屏障时间线，故障附注入与恢复日志</t>
        </is>
      </c>
      <c r="K35" s="2" t="inlineStr">
        <is>
          <t>自动化+人工核验</t>
        </is>
      </c>
      <c r="L35" s="2" t="inlineStr">
        <is>
          <t>R2/R4</t>
        </is>
      </c>
      <c r="M35" s="2" t="inlineStr">
        <is>
          <t>《设计文档_V2.0》第6—7、10.2；业务约束见《需求分析文档_V2.0》第5—7章</t>
        </is>
      </c>
      <c r="N35" s="2" t="inlineStr">
        <is>
          <t>列举的每个边界/枚举/时刻/浏览器组合均为必测variant；每variant留runId或参数化子结果，全部通过才可将整条标PASS</t>
        </is>
      </c>
    </row>
    <row r="36" ht="72" customHeight="1">
      <c r="A36" s="2" t="inlineStr">
        <is>
          <t>TC-TEA-005</t>
        </is>
      </c>
      <c r="B36" s="2" t="inlineStr">
        <is>
          <t>TEA</t>
        </is>
      </c>
      <c r="C36" s="2" t="inlineStr">
        <is>
          <t>窗口及关闭限制</t>
        </is>
      </c>
      <c r="D36" s="2" t="inlineStr">
        <is>
          <t>P0</t>
        </is>
      </c>
      <c r="E36" s="2" t="inlineStr">
        <is>
          <t>BR-05,FR-12</t>
        </is>
      </c>
      <c r="F36" s="2" t="inlineStr">
        <is>
          <t>AC-08</t>
        </is>
      </c>
      <c r="G36" s="2" t="inlineStr">
        <is>
          <t>D01,D03</t>
        </is>
      </c>
      <c r="H36" s="2" t="inlineStr">
        <is>
          <t>按主文档第5章构建独立数据快照；OPEN合法时间、窗口外及CLOSED选择或取消</t>
        </is>
      </c>
      <c r="I36" s="2" t="inlineStr">
        <is>
          <t>只允许合法当前授课修改；历史关联保持</t>
        </is>
      </c>
      <c r="J36" s="2" t="inlineStr">
        <is>
          <t>构建/环境/数据版本、请求与traceId、前后数据库一致性快照；并发附屏障时间线，故障附注入与恢复日志</t>
        </is>
      </c>
      <c r="K36" s="2" t="inlineStr">
        <is>
          <t>自动化+人工核验</t>
        </is>
      </c>
      <c r="L36" s="2" t="inlineStr">
        <is>
          <t>R2/R4</t>
        </is>
      </c>
      <c r="M36" s="2" t="inlineStr">
        <is>
          <t>《设计文档_V2.0》第6—7、10.2；业务约束见《需求分析文档_V2.0》第5—7章</t>
        </is>
      </c>
      <c r="N36" s="2" t="inlineStr">
        <is>
          <t>列举的每个边界/枚举/时刻/浏览器组合均为必测variant；每variant留runId或参数化子结果，全部通过才可将整条标PASS</t>
        </is>
      </c>
    </row>
    <row r="37" ht="72" customHeight="1">
      <c r="A37" s="2" t="inlineStr">
        <is>
          <t>TC-TEA-006</t>
        </is>
      </c>
      <c r="B37" s="2" t="inlineStr">
        <is>
          <t>TEA</t>
        </is>
      </c>
      <c r="C37" s="2" t="inlineStr">
        <is>
          <t>非在岗教师历史权限</t>
        </is>
      </c>
      <c r="D37" s="2" t="inlineStr">
        <is>
          <t>P0</t>
        </is>
      </c>
      <c r="E37" s="2" t="inlineStr">
        <is>
          <t>FR-12</t>
        </is>
      </c>
      <c r="F37" s="2" t="inlineStr">
        <is>
          <t>AC-08</t>
        </is>
      </c>
      <c r="G37" s="2" t="inlineStr">
        <is>
          <t>D01,D03</t>
        </is>
      </c>
      <c r="H37" s="2" t="inlineStr">
        <is>
          <t>按主文档第5章构建独立数据快照；ON_LEAVE/RETIRED访问历史名单与录分及新授课</t>
        </is>
      </c>
      <c r="I37" s="2" t="inlineStr">
        <is>
          <t>历史本人班可操作；新授课拒绝</t>
        </is>
      </c>
      <c r="J37" s="2" t="inlineStr">
        <is>
          <t>构建/环境/数据版本、请求与traceId、前后数据库一致性快照；并发附屏障时间线，故障附注入与恢复日志</t>
        </is>
      </c>
      <c r="K37" s="2" t="inlineStr">
        <is>
          <t>自动化+人工核验</t>
        </is>
      </c>
      <c r="L37" s="2" t="inlineStr">
        <is>
          <t>R2/R4</t>
        </is>
      </c>
      <c r="M37" s="2" t="inlineStr">
        <is>
          <t>《设计文档_V2.0》第6—7、10.2；业务约束见《需求分析文档_V2.0》第5—7章</t>
        </is>
      </c>
      <c r="N37" s="2" t="inlineStr">
        <is>
          <t>列举的每个边界/枚举/时刻/浏览器组合均为必测variant；每variant留runId或参数化子结果，全部通过才可将整条标PASS</t>
        </is>
      </c>
    </row>
    <row r="38" ht="72" customHeight="1">
      <c r="A38" s="2" t="inlineStr">
        <is>
          <t>TC-GRADE-001</t>
        </is>
      </c>
      <c r="B38" s="2" t="inlineStr">
        <is>
          <t>GRADE</t>
        </is>
      </c>
      <c r="C38" s="2" t="inlineStr">
        <is>
          <t>本人历史班名单与合法成绩</t>
        </is>
      </c>
      <c r="D38" s="2" t="inlineStr">
        <is>
          <t>P0</t>
        </is>
      </c>
      <c r="E38" s="2" t="inlineStr">
        <is>
          <t>BR-10,DATA-05,FR-13,FR-14</t>
        </is>
      </c>
      <c r="F38" s="2" t="inlineStr">
        <is>
          <t>AC-09</t>
        </is>
      </c>
      <c r="G38" s="2" t="inlineStr">
        <is>
          <t>D09</t>
        </is>
      </c>
      <c r="H38" s="2" t="inlineStr">
        <is>
          <t>按主文档第5章构建独立数据快照；上一已完成学期教师读取名单并批量录A-D/F/I</t>
        </is>
      </c>
      <c r="I38" s="2" t="inlineStr">
        <is>
          <t>仅正式本人班名单；合法值原子保存且可读取</t>
        </is>
      </c>
      <c r="J38" s="2" t="inlineStr">
        <is>
          <t>构建/环境/数据版本、请求与traceId、前后数据库一致性快照；并发附屏障时间线，故障附注入与恢复日志</t>
        </is>
      </c>
      <c r="K38" s="2" t="inlineStr">
        <is>
          <t>自动化+人工核验</t>
        </is>
      </c>
      <c r="L38" s="2" t="inlineStr">
        <is>
          <t>R2/R4</t>
        </is>
      </c>
      <c r="M38" s="2" t="inlineStr">
        <is>
          <t>《设计文档_V2.0》第7.5、10—11；业务约束见《需求分析文档_V2.0》第5—7章</t>
        </is>
      </c>
      <c r="N38" s="2" t="inlineStr">
        <is>
          <t>列举的每个边界/枚举/时刻/浏览器组合均为必测variant；每variant留runId或参数化子结果，全部通过才可将整条标PASS</t>
        </is>
      </c>
    </row>
    <row r="39" ht="72" customHeight="1">
      <c r="A39" s="2" t="inlineStr">
        <is>
          <t>TC-GRADE-002</t>
        </is>
      </c>
      <c r="B39" s="2" t="inlineStr">
        <is>
          <t>GRADE</t>
        </is>
      </c>
      <c r="C39" s="2" t="inlineStr">
        <is>
          <t>非法等级批次</t>
        </is>
      </c>
      <c r="D39" s="2" t="inlineStr">
        <is>
          <t>P0</t>
        </is>
      </c>
      <c r="E39" s="2" t="inlineStr">
        <is>
          <t>BR-10,FR-14</t>
        </is>
      </c>
      <c r="F39" s="2" t="inlineStr">
        <is>
          <t>AC-09</t>
        </is>
      </c>
      <c r="G39" s="2" t="inlineStr">
        <is>
          <t>D09</t>
        </is>
      </c>
      <c r="H39" s="2" t="inlineStr">
        <is>
          <t>按主文档第5章构建独立数据快照；一批包含合法与非法成绩</t>
        </is>
      </c>
      <c r="I39" s="2" t="inlineStr">
        <is>
          <t>整批拒绝；合法项也不部分写入</t>
        </is>
      </c>
      <c r="J39" s="2" t="inlineStr">
        <is>
          <t>构建/环境/数据版本、请求与traceId、前后数据库一致性快照；并发附屏障时间线，故障附注入与恢复日志</t>
        </is>
      </c>
      <c r="K39" s="2" t="inlineStr">
        <is>
          <t>自动化+人工核验</t>
        </is>
      </c>
      <c r="L39" s="2" t="inlineStr">
        <is>
          <t>R2/R4</t>
        </is>
      </c>
      <c r="M39" s="2" t="inlineStr">
        <is>
          <t>《设计文档_V2.0》第7.5、10—11；业务约束见《需求分析文档_V2.0》第5—7章</t>
        </is>
      </c>
      <c r="N39" s="2" t="inlineStr">
        <is>
          <t>列举的每个边界/枚举/时刻/浏览器组合均为必测variant；每variant留runId或参数化子结果，全部通过才可将整条标PASS</t>
        </is>
      </c>
    </row>
    <row r="40" ht="72" customHeight="1">
      <c r="A40" s="2" t="inlineStr">
        <is>
          <t>TC-GRADE-003</t>
        </is>
      </c>
      <c r="B40" s="2" t="inlineStr">
        <is>
          <t>GRADE</t>
        </is>
      </c>
      <c r="C40" s="2" t="inlineStr">
        <is>
          <t>留空不清除</t>
        </is>
      </c>
      <c r="D40" s="2" t="inlineStr">
        <is>
          <t>P0</t>
        </is>
      </c>
      <c r="E40" s="2" t="inlineStr">
        <is>
          <t>BR-10,FR-14</t>
        </is>
      </c>
      <c r="F40" s="2" t="inlineStr">
        <is>
          <t>AC-09</t>
        </is>
      </c>
      <c r="G40" s="2" t="inlineStr">
        <is>
          <t>D09</t>
        </is>
      </c>
      <c r="H40" s="2" t="inlineStr">
        <is>
          <t>按主文档第5章构建独立数据快照；对已有成绩字段省略及设null</t>
        </is>
      </c>
      <c r="I40" s="2" t="inlineStr">
        <is>
          <t>均跳过；已有成绩保留</t>
        </is>
      </c>
      <c r="J40" s="2" t="inlineStr">
        <is>
          <t>构建/环境/数据版本、请求与traceId、前后数据库一致性快照；并发附屏障时间线，故障附注入与恢复日志</t>
        </is>
      </c>
      <c r="K40" s="2" t="inlineStr">
        <is>
          <t>自动化+人工核验</t>
        </is>
      </c>
      <c r="L40" s="2" t="inlineStr">
        <is>
          <t>R2/R4</t>
        </is>
      </c>
      <c r="M40" s="2" t="inlineStr">
        <is>
          <t>《设计文档_V2.0》第7.5、10—11；业务约束见《需求分析文档_V2.0》第5—7章</t>
        </is>
      </c>
      <c r="N40" s="2" t="inlineStr">
        <is>
          <t>列举的每个边界/枚举/时刻/浏览器组合均为必测variant；每variant留runId或参数化子结果，全部通过才可将整条标PASS</t>
        </is>
      </c>
    </row>
    <row r="41" ht="72" customHeight="1">
      <c r="A41" s="2" t="inlineStr">
        <is>
          <t>TC-GRADE-004</t>
        </is>
      </c>
      <c r="B41" s="2" t="inlineStr">
        <is>
          <t>GRADE</t>
        </is>
      </c>
      <c r="C41" s="2" t="inlineStr">
        <is>
          <t>补录与覆盖</t>
        </is>
      </c>
      <c r="D41" s="2" t="inlineStr">
        <is>
          <t>P0</t>
        </is>
      </c>
      <c r="E41" s="2" t="inlineStr">
        <is>
          <t>BR-10,FR-14</t>
        </is>
      </c>
      <c r="F41" s="2" t="inlineStr">
        <is>
          <t>AC-09</t>
        </is>
      </c>
      <c r="G41" s="2" t="inlineStr">
        <is>
          <t>D09</t>
        </is>
      </c>
      <c r="H41" s="2" t="inlineStr">
        <is>
          <t>按主文档第5章构建独立数据快照；对空成绩补录，再带正确版本覆盖</t>
        </is>
      </c>
      <c r="I41" s="2" t="inlineStr">
        <is>
          <t>值与version更新；审计记录前后值</t>
        </is>
      </c>
      <c r="J41" s="2" t="inlineStr">
        <is>
          <t>构建/环境/数据版本、请求与traceId、前后数据库一致性快照；并发附屏障时间线，故障附注入与恢复日志</t>
        </is>
      </c>
      <c r="K41" s="2" t="inlineStr">
        <is>
          <t>自动化+人工核验</t>
        </is>
      </c>
      <c r="L41" s="2" t="inlineStr">
        <is>
          <t>R2/R4</t>
        </is>
      </c>
      <c r="M41" s="2" t="inlineStr">
        <is>
          <t>《设计文档_V2.0》第7.5、10—11；业务约束见《需求分析文档_V2.0》第5—7章</t>
        </is>
      </c>
      <c r="N41" s="2" t="inlineStr">
        <is>
          <t>列举的每个边界/枚举/时刻/浏览器组合均为必测variant；每variant留runId或参数化子结果，全部通过才可将整条标PASS</t>
        </is>
      </c>
    </row>
    <row r="42" ht="72" customHeight="1">
      <c r="A42" s="2" t="inlineStr">
        <is>
          <t>TC-GRADE-005</t>
        </is>
      </c>
      <c r="B42" s="2" t="inlineStr">
        <is>
          <t>GRADE</t>
        </is>
      </c>
      <c r="C42" s="2" t="inlineStr">
        <is>
          <t>名单外及版本冲突</t>
        </is>
      </c>
      <c r="D42" s="2" t="inlineStr">
        <is>
          <t>P0</t>
        </is>
      </c>
      <c r="E42" s="2" t="inlineStr">
        <is>
          <t>DATA-01,FR-14</t>
        </is>
      </c>
      <c r="F42" s="2" t="inlineStr">
        <is>
          <t>AC-09</t>
        </is>
      </c>
      <c r="G42" s="2" t="inlineStr">
        <is>
          <t>D09</t>
        </is>
      </c>
      <c r="H42" s="2" t="inlineStr">
        <is>
          <t>按主文档第5章构建独立数据快照；批次含名单外学生或一项过期expectedVersion</t>
        </is>
      </c>
      <c r="I42" s="2" t="inlineStr">
        <is>
          <t>整批拒绝；无部分覆盖</t>
        </is>
      </c>
      <c r="J42" s="2" t="inlineStr">
        <is>
          <t>构建/环境/数据版本、请求与traceId、前后数据库一致性快照；并发附屏障时间线，故障附注入与恢复日志</t>
        </is>
      </c>
      <c r="K42" s="2" t="inlineStr">
        <is>
          <t>自动化+人工核验</t>
        </is>
      </c>
      <c r="L42" s="2" t="inlineStr">
        <is>
          <t>R2/R4</t>
        </is>
      </c>
      <c r="M42" s="2" t="inlineStr">
        <is>
          <t>《设计文档_V2.0》第7.5、10—11；业务约束见《需求分析文档_V2.0》第5—7章</t>
        </is>
      </c>
      <c r="N42" s="2" t="inlineStr">
        <is>
          <t>列举的每个边界/枚举/时刻/浏览器组合均为必测variant；每variant留runId或参数化子结果，全部通过才可将整条标PASS</t>
        </is>
      </c>
    </row>
    <row r="43" ht="72" customHeight="1">
      <c r="A43" s="2" t="inlineStr">
        <is>
          <t>TC-GRADE-006</t>
        </is>
      </c>
      <c r="B43" s="2" t="inlineStr">
        <is>
          <t>GRADE</t>
        </is>
      </c>
      <c r="C43" s="2" t="inlineStr">
        <is>
          <t>学生成绩单及空数据</t>
        </is>
      </c>
      <c r="D43" s="2" t="inlineStr">
        <is>
          <t>P0</t>
        </is>
      </c>
      <c r="E43" s="2" t="inlineStr">
        <is>
          <t>DATA-05,FR-15</t>
        </is>
      </c>
      <c r="F43" s="2" t="inlineStr">
        <is>
          <t>AC-10</t>
        </is>
      </c>
      <c r="G43" s="2" t="inlineStr">
        <is>
          <t>D09</t>
        </is>
      </c>
      <c r="H43" s="2" t="inlineStr">
        <is>
          <t>按主文档第5章构建独立数据快照；本人读previous_completed_semester，另账号无成绩</t>
        </is>
      </c>
      <c r="I43" s="2" t="inlineStr">
        <is>
          <t>数据只来自上一COMPLETED；无成绩提示明确</t>
        </is>
      </c>
      <c r="J43" s="2" t="inlineStr">
        <is>
          <t>构建/环境/数据版本、请求与traceId、前后数据库一致性快照；并发附屏障时间线，故障附注入与恢复日志</t>
        </is>
      </c>
      <c r="K43" s="2" t="inlineStr">
        <is>
          <t>自动化+人工核验</t>
        </is>
      </c>
      <c r="L43" s="2" t="inlineStr">
        <is>
          <t>R2/R4</t>
        </is>
      </c>
      <c r="M43" s="2" t="inlineStr">
        <is>
          <t>《设计文档_V2.0》第7.5、10—11；业务约束见《需求分析文档_V2.0》第5—7章</t>
        </is>
      </c>
      <c r="N43" s="2" t="inlineStr">
        <is>
          <t>列举的每个边界/枚举/时刻/浏览器组合均为必测variant；每variant留runId或参数化子结果，全部通过才可将整条标PASS</t>
        </is>
      </c>
    </row>
    <row r="44" ht="72" customHeight="1">
      <c r="A44" s="2" t="inlineStr">
        <is>
          <t>TC-GRADE-007</t>
        </is>
      </c>
      <c r="B44" s="2" t="inlineStr">
        <is>
          <t>GRADE</t>
        </is>
      </c>
      <c r="C44" s="2" t="inlineStr">
        <is>
          <t>当前关闭不阻塞历史评分</t>
        </is>
      </c>
      <c r="D44" s="2" t="inlineStr">
        <is>
          <t>P0</t>
        </is>
      </c>
      <c r="E44" s="2" t="inlineStr">
        <is>
          <t>DATA-05,FR-14</t>
        </is>
      </c>
      <c r="F44" s="2" t="inlineStr">
        <is>
          <t>AC-09</t>
        </is>
      </c>
      <c r="G44" s="2" t="inlineStr">
        <is>
          <t>D09</t>
        </is>
      </c>
      <c r="H44" s="2" t="inlineStr">
        <is>
          <t>按主文档第5章构建独立数据快照；关闭当前学期同时更新上一COMPLETED成绩</t>
        </is>
      </c>
      <c r="I44" s="2" t="inlineStr">
        <is>
          <t>历史评分仍合法；不误用当前关闭门锁</t>
        </is>
      </c>
      <c r="J44" s="2" t="inlineStr">
        <is>
          <t>构建/环境/数据版本、请求与traceId、前后数据库一致性快照；并发附屏障时间线，故障附注入与恢复日志</t>
        </is>
      </c>
      <c r="K44" s="2" t="inlineStr">
        <is>
          <t>自动化+人工核验</t>
        </is>
      </c>
      <c r="L44" s="2" t="inlineStr">
        <is>
          <t>R2/R4</t>
        </is>
      </c>
      <c r="M44" s="2" t="inlineStr">
        <is>
          <t>《设计文档_V2.0》第7.5、10—11；业务约束见《需求分析文档_V2.0》第5—7章</t>
        </is>
      </c>
      <c r="N44" s="2" t="inlineStr">
        <is>
          <t>列举的每个边界/枚举/时刻/浏览器组合均为必测variant；每variant留runId或参数化子结果，全部通过才可将整条标PASS</t>
        </is>
      </c>
    </row>
    <row r="45" ht="72" customHeight="1">
      <c r="A45" s="2" t="inlineStr">
        <is>
          <t>TC-GRADE-008</t>
        </is>
      </c>
      <c r="B45" s="2" t="inlineStr">
        <is>
          <t>GRADE</t>
        </is>
      </c>
      <c r="C45" s="2" t="inlineStr">
        <is>
          <t>篡改学生和教师归属</t>
        </is>
      </c>
      <c r="D45" s="2" t="inlineStr">
        <is>
          <t>P0</t>
        </is>
      </c>
      <c r="E45" s="2" t="inlineStr">
        <is>
          <t>FR-13,FR-14,FR-15,SEC-01</t>
        </is>
      </c>
      <c r="F45" s="2" t="inlineStr">
        <is>
          <t>AC-09,AC-10</t>
        </is>
      </c>
      <c r="G45" s="2" t="inlineStr">
        <is>
          <t>D09</t>
        </is>
      </c>
      <c r="H45" s="2" t="inlineStr">
        <is>
          <t>按主文档第5章构建独立数据快照；读他人成绩、给他人班或当前学期录分</t>
        </is>
      </c>
      <c r="I45" s="2" t="inlineStr">
        <is>
          <t>服务端拒绝；数据保持不变</t>
        </is>
      </c>
      <c r="J45" s="2" t="inlineStr">
        <is>
          <t>构建/环境/数据版本、请求与traceId、前后数据库一致性快照；并发附屏障时间线，故障附注入与恢复日志</t>
        </is>
      </c>
      <c r="K45" s="2" t="inlineStr">
        <is>
          <t>自动化+人工核验</t>
        </is>
      </c>
      <c r="L45" s="2" t="inlineStr">
        <is>
          <t>R2/R4</t>
        </is>
      </c>
      <c r="M45" s="2" t="inlineStr">
        <is>
          <t>《设计文档_V2.0》第7.5、10—11；业务约束见《需求分析文档_V2.0》第5—7章</t>
        </is>
      </c>
      <c r="N45" s="2" t="inlineStr">
        <is>
          <t>列举的每个边界/枚举/时刻/浏览器组合均为必测variant；每variant留runId或参数化子结果，全部通过才可将整条标PASS</t>
        </is>
      </c>
    </row>
    <row r="46" ht="72" customHeight="1">
      <c r="A46" s="2" t="inlineStr">
        <is>
          <t>TC-PEOPLE-001</t>
        </is>
      </c>
      <c r="B46" s="2" t="inlineStr">
        <is>
          <t>PEOPLE</t>
        </is>
      </c>
      <c r="C46" s="2" t="inlineStr">
        <is>
          <t>创建人员账号原子性</t>
        </is>
      </c>
      <c r="D46" s="2" t="inlineStr">
        <is>
          <t>P0</t>
        </is>
      </c>
      <c r="E46" s="2" t="inlineStr">
        <is>
          <t>DATA-01,FR-16,FR-18</t>
        </is>
      </c>
      <c r="F46" s="2" t="inlineStr">
        <is>
          <t>AC-11</t>
        </is>
      </c>
      <c r="G46" s="2" t="inlineStr">
        <is>
          <t>D10,D14</t>
        </is>
      </c>
      <c r="H46" s="2" t="inlineStr">
        <is>
          <t>按主文档第5章构建独立数据快照；分别新增学生教师；读取返回ID及一次临时密码</t>
        </is>
      </c>
      <c r="I46" s="2" t="inlineStr">
        <is>
          <t>唯一ID字符串；人员账号同时创建；初始需改密</t>
        </is>
      </c>
      <c r="J46" s="2" t="inlineStr">
        <is>
          <t>构建/环境/数据版本、请求与traceId、前后数据库一致性快照；并发附屏障时间线，故障附注入与恢复日志</t>
        </is>
      </c>
      <c r="K46" s="2" t="inlineStr">
        <is>
          <t>自动化+人工核验</t>
        </is>
      </c>
      <c r="L46" s="2" t="inlineStr">
        <is>
          <t>R3/R5</t>
        </is>
      </c>
      <c r="M46" s="2" t="inlineStr">
        <is>
          <t>《设计文档_V2.0》第5、10.5、11；业务约束见《需求分析文档_V2.0》第5—7章</t>
        </is>
      </c>
      <c r="N46" s="2" t="inlineStr">
        <is>
          <t>列举的每个边界/枚举/时刻/浏览器组合均为必测variant；每variant留runId或参数化子结果，全部通过才可将整条标PASS</t>
        </is>
      </c>
    </row>
    <row r="47" ht="72" customHeight="1">
      <c r="A47" s="2" t="inlineStr">
        <is>
          <t>TC-PEOPLE-002</t>
        </is>
      </c>
      <c r="B47" s="2" t="inlineStr">
        <is>
          <t>PEOPLE</t>
        </is>
      </c>
      <c r="C47" s="2" t="inlineStr">
        <is>
          <t>按ID查询与修改</t>
        </is>
      </c>
      <c r="D47" s="2" t="inlineStr">
        <is>
          <t>P0</t>
        </is>
      </c>
      <c r="E47" s="2" t="inlineStr">
        <is>
          <t>FR-16,FR-18</t>
        </is>
      </c>
      <c r="F47" s="2" t="inlineStr">
        <is>
          <t>AC-11</t>
        </is>
      </c>
      <c r="G47" s="2" t="inlineStr">
        <is>
          <t>D10,D14</t>
        </is>
      </c>
      <c r="H47" s="2" t="inlineStr">
        <is>
          <t>按主文档第5章构建独立数据快照；查询有效、不存在ID，正确及过期version更新字段</t>
        </is>
      </c>
      <c r="I47" s="2" t="inlineStr">
        <is>
          <t>命中准确；不存在明确；旧版本409</t>
        </is>
      </c>
      <c r="J47" s="2" t="inlineStr">
        <is>
          <t>构建/环境/数据版本、请求与traceId、前后数据库一致性快照；并发附屏障时间线，故障附注入与恢复日志</t>
        </is>
      </c>
      <c r="K47" s="2" t="inlineStr">
        <is>
          <t>自动化+人工核验</t>
        </is>
      </c>
      <c r="L47" s="2" t="inlineStr">
        <is>
          <t>R3/R5</t>
        </is>
      </c>
      <c r="M47" s="2" t="inlineStr">
        <is>
          <t>《设计文档_V2.0》第5、10.5、11；业务约束见《需求分析文档_V2.0》第5—7章</t>
        </is>
      </c>
      <c r="N47" s="2" t="inlineStr">
        <is>
          <t>列举的每个边界/枚举/时刻/浏览器组合均为必测variant；每variant留runId或参数化子结果，全部通过才可将整条标PASS</t>
        </is>
      </c>
    </row>
    <row r="48" ht="72" customHeight="1">
      <c r="A48" s="2" t="inlineStr">
        <is>
          <t>TC-PEOPLE-003</t>
        </is>
      </c>
      <c r="B48" s="2" t="inlineStr">
        <is>
          <t>PEOPLE</t>
        </is>
      </c>
      <c r="C48" s="2" t="inlineStr">
        <is>
          <t>逻辑删除无当前关系</t>
        </is>
      </c>
      <c r="D48" s="2" t="inlineStr">
        <is>
          <t>P0</t>
        </is>
      </c>
      <c r="E48" s="2" t="inlineStr">
        <is>
          <t>DATA-03,FR-17,FR-19</t>
        </is>
      </c>
      <c r="F48" s="2" t="inlineStr">
        <is>
          <t>AC-11</t>
        </is>
      </c>
      <c r="G48" s="2" t="inlineStr">
        <is>
          <t>D10,D14</t>
        </is>
      </c>
      <c r="H48" s="2" t="inlineStr">
        <is>
          <t>按主文档第5章构建独立数据快照；删除仅有历史数据人员后查询历史名单</t>
        </is>
      </c>
      <c r="I48" s="2" t="inlineStr">
        <is>
          <t>逻辑删除且账号禁用；历史不丢失；登录拒绝</t>
        </is>
      </c>
      <c r="J48" s="2" t="inlineStr">
        <is>
          <t>构建/环境/数据版本、请求与traceId、前后数据库一致性快照；并发附屏障时间线，故障附注入与恢复日志</t>
        </is>
      </c>
      <c r="K48" s="2" t="inlineStr">
        <is>
          <t>自动化+人工核验</t>
        </is>
      </c>
      <c r="L48" s="2" t="inlineStr">
        <is>
          <t>R3/R5</t>
        </is>
      </c>
      <c r="M48" s="2" t="inlineStr">
        <is>
          <t>《设计文档_V2.0》第5、10.5、11；业务约束见《需求分析文档_V2.0》第5—7章</t>
        </is>
      </c>
      <c r="N48" s="2" t="inlineStr">
        <is>
          <t>列举的每个边界/枚举/时刻/浏览器组合均为必测variant；每variant留runId或参数化子结果，全部通过才可将整条标PASS</t>
        </is>
      </c>
    </row>
    <row r="49" ht="72" customHeight="1">
      <c r="A49" s="2" t="inlineStr">
        <is>
          <t>TC-PEOPLE-004</t>
        </is>
      </c>
      <c r="B49" s="2" t="inlineStr">
        <is>
          <t>PEOPLE</t>
        </is>
      </c>
      <c r="C49" s="2" t="inlineStr">
        <is>
          <t>当前关系阻止删除</t>
        </is>
      </c>
      <c r="D49" s="2" t="inlineStr">
        <is>
          <t>P0</t>
        </is>
      </c>
      <c r="E49" s="2" t="inlineStr">
        <is>
          <t>DATA-03,FR-17,FR-19</t>
        </is>
      </c>
      <c r="F49" s="2" t="inlineStr">
        <is>
          <t>AC-11</t>
        </is>
      </c>
      <c r="G49" s="2" t="inlineStr">
        <is>
          <t>D10,D14</t>
        </is>
      </c>
      <c r="H49" s="2" t="inlineStr">
        <is>
          <t>按主文档第5章构建独立数据快照；对OPEN/CLOSING有ACTIVE或授课关系人员删除</t>
        </is>
      </c>
      <c r="I49" s="2" t="inlineStr">
        <is>
          <t>409 ACTIVE_RELATION_EXISTS；账号人员关系均不变</t>
        </is>
      </c>
      <c r="J49" s="2" t="inlineStr">
        <is>
          <t>构建/环境/数据版本、请求与traceId、前后数据库一致性快照；并发附屏障时间线，故障附注入与恢复日志</t>
        </is>
      </c>
      <c r="K49" s="2" t="inlineStr">
        <is>
          <t>自动化+人工核验</t>
        </is>
      </c>
      <c r="L49" s="2" t="inlineStr">
        <is>
          <t>R3/R5</t>
        </is>
      </c>
      <c r="M49" s="2" t="inlineStr">
        <is>
          <t>《设计文档_V2.0》第5、10.5、11；业务约束见《需求分析文档_V2.0》第5—7章</t>
        </is>
      </c>
      <c r="N49" s="2" t="inlineStr">
        <is>
          <t>列举的每个边界/枚举/时刻/浏览器组合均为必测variant；每variant留runId或参数化子结果，全部通过才可将整条标PASS</t>
        </is>
      </c>
    </row>
    <row r="50" ht="72" customHeight="1">
      <c r="A50" s="2" t="inlineStr">
        <is>
          <t>TC-PEOPLE-005</t>
        </is>
      </c>
      <c r="B50" s="2" t="inlineStr">
        <is>
          <t>PEOPLE</t>
        </is>
      </c>
      <c r="C50" s="2" t="inlineStr">
        <is>
          <t>非活跃状态切换</t>
        </is>
      </c>
      <c r="D50" s="2" t="inlineStr">
        <is>
          <t>P0</t>
        </is>
      </c>
      <c r="E50" s="2" t="inlineStr"/>
      <c r="F50" s="2" t="inlineStr"/>
      <c r="G50" s="2" t="inlineStr">
        <is>
          <t>D10,D14</t>
        </is>
      </c>
      <c r="H50" s="2" t="inlineStr">
        <is>
          <t>按主文档第5章构建独立数据快照；有当前关系切非ENROLLED/非ON_DUTY，解除后再切</t>
        </is>
      </c>
      <c r="I50" s="2" t="inlineStr">
        <is>
          <t>有关联拒绝；解除后成功；新选课或授课拒绝</t>
        </is>
      </c>
      <c r="J50" s="2" t="inlineStr">
        <is>
          <t>构建/环境/数据版本、请求与traceId、前后数据库一致性快照；并发附屏障时间线，故障附注入与恢复日志</t>
        </is>
      </c>
      <c r="K50" s="2" t="inlineStr">
        <is>
          <t>自动化+人工核验</t>
        </is>
      </c>
      <c r="L50" s="2" t="inlineStr">
        <is>
          <t>R3/R5</t>
        </is>
      </c>
      <c r="M50" s="2" t="inlineStr">
        <is>
          <t>《设计文档_V2.0》第5、10.5、11；业务约束见《需求分析文档_V2.0》第5—7章</t>
        </is>
      </c>
      <c r="N50" s="2" t="inlineStr">
        <is>
          <t>列举的每个边界/枚举/时刻/浏览器组合均为必测variant；每variant留runId或参数化子结果，全部通过才可将整条标PASS</t>
        </is>
      </c>
    </row>
    <row r="51" ht="72" customHeight="1">
      <c r="A51" s="2" t="inlineStr">
        <is>
          <t>TC-PEOPLE-006</t>
        </is>
      </c>
      <c r="B51" s="2" t="inlineStr">
        <is>
          <t>PEOPLE</t>
        </is>
      </c>
      <c r="C51" s="2" t="inlineStr">
        <is>
          <t>删除取消与不存在</t>
        </is>
      </c>
      <c r="D51" s="2" t="inlineStr">
        <is>
          <t>P0</t>
        </is>
      </c>
      <c r="E51" s="2" t="inlineStr">
        <is>
          <t>FR-17,FR-19</t>
        </is>
      </c>
      <c r="F51" s="2" t="inlineStr">
        <is>
          <t>AC-11</t>
        </is>
      </c>
      <c r="G51" s="2" t="inlineStr">
        <is>
          <t>D10,D14</t>
        </is>
      </c>
      <c r="H51" s="2" t="inlineStr">
        <is>
          <t>按主文档第5章构建独立数据快照；取消UI确认；确认不存在ID；重复删除</t>
        </is>
      </c>
      <c r="I51" s="2" t="inlineStr">
        <is>
          <t>取消无变化；授权范围不存在404；重复删除已删除记录204无体且不重复业务审计</t>
        </is>
      </c>
      <c r="J51" s="2" t="inlineStr">
        <is>
          <t>构建/环境/数据版本、请求与traceId、前后数据库一致性快照；并发附屏障时间线，故障附注入与恢复日志</t>
        </is>
      </c>
      <c r="K51" s="2" t="inlineStr">
        <is>
          <t>自动化+人工核验</t>
        </is>
      </c>
      <c r="L51" s="2" t="inlineStr">
        <is>
          <t>R3/R5</t>
        </is>
      </c>
      <c r="M51" s="2" t="inlineStr">
        <is>
          <t>《设计文档_V2.0》第5、10.5、11；业务约束见《需求分析文档_V2.0》第5—7章</t>
        </is>
      </c>
      <c r="N51" s="2" t="inlineStr">
        <is>
          <t>列举的每个边界/枚举/时刻/浏览器组合均为必测variant；每variant留runId或参数化子结果，全部通过才可将整条标PASS</t>
        </is>
      </c>
    </row>
    <row r="52" ht="72" customHeight="1">
      <c r="A52" s="2" t="inlineStr">
        <is>
          <t>TC-PEOPLE-007</t>
        </is>
      </c>
      <c r="B52" s="2" t="inlineStr">
        <is>
          <t>PEOPLE</t>
        </is>
      </c>
      <c r="C52" s="2" t="inlineStr">
        <is>
          <t>创建中途数据库失败</t>
        </is>
      </c>
      <c r="D52" s="2" t="inlineStr">
        <is>
          <t>P0</t>
        </is>
      </c>
      <c r="E52" s="2" t="inlineStr">
        <is>
          <t>FR-16,FR-18</t>
        </is>
      </c>
      <c r="F52" s="2" t="inlineStr">
        <is>
          <t>AC-11</t>
        </is>
      </c>
      <c r="G52" s="2" t="inlineStr">
        <is>
          <t>D10,D14</t>
        </is>
      </c>
      <c r="H52" s="2" t="inlineStr">
        <is>
          <t>按主文档第5章构建独立数据快照；账号插入阶段注入失败并查人员表</t>
        </is>
      </c>
      <c r="I52" s="2" t="inlineStr">
        <is>
          <t>人员与账号均回滚；无孤儿或明文密码</t>
        </is>
      </c>
      <c r="J52" s="2" t="inlineStr">
        <is>
          <t>构建/环境/数据版本、请求与traceId、前后数据库一致性快照；并发附屏障时间线，故障附注入与恢复日志</t>
        </is>
      </c>
      <c r="K52" s="2" t="inlineStr">
        <is>
          <t>自动化+人工核验</t>
        </is>
      </c>
      <c r="L52" s="2" t="inlineStr">
        <is>
          <t>R3/R5</t>
        </is>
      </c>
      <c r="M52" s="2" t="inlineStr">
        <is>
          <t>《设计文档_V2.0》第5、10.5、11；业务约束见《需求分析文档_V2.0》第5—7章</t>
        </is>
      </c>
      <c r="N52" s="2" t="inlineStr">
        <is>
          <t>列举的每个边界/枚举/时刻/浏览器组合均为必测variant；每variant留runId或参数化子结果，全部通过才可将整条标PASS</t>
        </is>
      </c>
    </row>
    <row r="53" ht="72" customHeight="1">
      <c r="A53" s="2" t="inlineStr">
        <is>
          <t>TC-PEOPLE-008</t>
        </is>
      </c>
      <c r="B53" s="2" t="inlineStr">
        <is>
          <t>PEOPLE</t>
        </is>
      </c>
      <c r="C53" s="2" t="inlineStr">
        <is>
          <t>人员搜索及字段校验</t>
        </is>
      </c>
      <c r="D53" s="2" t="inlineStr">
        <is>
          <t>P0</t>
        </is>
      </c>
      <c r="E53" s="2" t="inlineStr">
        <is>
          <t>FR-16,FR-18,FR-24</t>
        </is>
      </c>
      <c r="F53" s="2" t="inlineStr">
        <is>
          <t>AC-11,AC-16</t>
        </is>
      </c>
      <c r="G53" s="2" t="inlineStr">
        <is>
          <t>D10,D14</t>
        </is>
      </c>
      <c r="H53" s="2" t="inlineStr">
        <is>
          <t>按主文档第5章构建独立数据快照；分页搜索、非法必填字段、超长字段及重复约束</t>
        </is>
      </c>
      <c r="I53" s="2" t="inlineStr">
        <is>
          <t>提示明确；不突破唯一约束；不泄露内部SQL</t>
        </is>
      </c>
      <c r="J53" s="2" t="inlineStr">
        <is>
          <t>构建/环境/数据版本、请求与traceId、前后数据库一致性快照；并发附屏障时间线，故障附注入与恢复日志</t>
        </is>
      </c>
      <c r="K53" s="2" t="inlineStr">
        <is>
          <t>自动化+人工核验</t>
        </is>
      </c>
      <c r="L53" s="2" t="inlineStr">
        <is>
          <t>R3/R5</t>
        </is>
      </c>
      <c r="M53" s="2" t="inlineStr">
        <is>
          <t>《设计文档_V2.0》第5、10.5、11；业务约束见《需求分析文档_V2.0》第5—7章</t>
        </is>
      </c>
      <c r="N53" s="2" t="inlineStr">
        <is>
          <t>列举的每个边界/枚举/时刻/浏览器组合均为必测variant；每variant留runId或参数化子结果，全部通过才可将整条标PASS</t>
        </is>
      </c>
    </row>
    <row r="54" ht="72" customHeight="1">
      <c r="A54" s="2" t="inlineStr">
        <is>
          <t>TC-PEOPLE-009</t>
        </is>
      </c>
      <c r="B54" s="2" t="inlineStr">
        <is>
          <t>PEOPLE</t>
        </is>
      </c>
      <c r="C54" s="2" t="inlineStr">
        <is>
          <t>姓名长度及日期边界</t>
        </is>
      </c>
      <c r="D54" s="2" t="inlineStr">
        <is>
          <t>P1</t>
        </is>
      </c>
      <c r="E54" s="2" t="inlineStr">
        <is>
          <t>FR-16,FR-18</t>
        </is>
      </c>
      <c r="F54" s="2" t="inlineStr">
        <is>
          <t>AC-11</t>
        </is>
      </c>
      <c r="G54" s="2" t="inlineStr">
        <is>
          <t>D10,D14</t>
        </is>
      </c>
      <c r="H54" s="2" t="inlineStr">
        <is>
          <t>按主文档第5章构建独立数据快照；虚构姓名1/100/101字符及全空白，生日今天/未来/非法日期</t>
        </is>
      </c>
      <c r="I54" s="2" t="inlineStr">
        <is>
          <t>去空白后1-100合法；非法400且无半记录；业务时区今天可接受</t>
        </is>
      </c>
      <c r="J54" s="2" t="inlineStr">
        <is>
          <t>构建/环境/数据版本、请求与traceId、前后数据库一致性快照；并发附屏障时间线，故障附注入与恢复日志</t>
        </is>
      </c>
      <c r="K54" s="2" t="inlineStr">
        <is>
          <t>自动化+人工核验</t>
        </is>
      </c>
      <c r="L54" s="2" t="inlineStr">
        <is>
          <t>R3/R5</t>
        </is>
      </c>
      <c r="M54" s="2" t="inlineStr">
        <is>
          <t>《设计文档_V2.0》第5、10.5、11；业务约束见《需求分析文档_V2.0》第5—7章</t>
        </is>
      </c>
      <c r="N54" s="2" t="inlineStr">
        <is>
          <t>列举的每个边界/枚举/时刻/浏览器组合均为必测variant；每variant留runId或参数化子结果，全部通过才可将整条标PASS</t>
        </is>
      </c>
    </row>
    <row r="55" ht="72" customHeight="1">
      <c r="A55" s="2" t="inlineStr">
        <is>
          <t>TC-PEOPLE-010</t>
        </is>
      </c>
      <c r="B55" s="2" t="inlineStr">
        <is>
          <t>PEOPLE</t>
        </is>
      </c>
      <c r="C55" s="2" t="inlineStr">
        <is>
          <t>SSN规范化</t>
        </is>
      </c>
      <c r="D55" s="2" t="inlineStr">
        <is>
          <t>P1</t>
        </is>
      </c>
      <c r="E55" s="2" t="inlineStr">
        <is>
          <t>DATA-04,FR-16,FR-18</t>
        </is>
      </c>
      <c r="F55" s="2" t="inlineStr">
        <is>
          <t>AC-11</t>
        </is>
      </c>
      <c r="G55" s="2" t="inlineStr">
        <is>
          <t>D10,D14</t>
        </is>
      </c>
      <c r="H55" s="2" t="inlineStr">
        <is>
          <t>按主文档第5章构建独立数据快照；9位数字和带常见分隔符；8/10位及字母</t>
        </is>
      </c>
      <c r="I55" s="2" t="inlineStr">
        <is>
          <t>合法规范9位；非法拒绝；不增加SSN唯一或实名规则</t>
        </is>
      </c>
      <c r="J55" s="2" t="inlineStr">
        <is>
          <t>构建/环境/数据版本、请求与traceId、前后数据库一致性快照；并发附屏障时间线，故障附注入与恢复日志</t>
        </is>
      </c>
      <c r="K55" s="2" t="inlineStr">
        <is>
          <t>自动化+人工核验</t>
        </is>
      </c>
      <c r="L55" s="2" t="inlineStr">
        <is>
          <t>R3/R5</t>
        </is>
      </c>
      <c r="M55" s="2" t="inlineStr">
        <is>
          <t>《设计文档_V2.0》第5、10.5、11；业务约束见《需求分析文档_V2.0》第5—7章</t>
        </is>
      </c>
      <c r="N55" s="2" t="inlineStr">
        <is>
          <t>列举的每个边界/枚举/时刻/浏览器组合均为必测variant；每variant留runId或参数化子结果，全部通过才可将整条标PASS</t>
        </is>
      </c>
    </row>
    <row r="56" ht="72" customHeight="1">
      <c r="A56" s="2" t="inlineStr">
        <is>
          <t>TC-PEOPLE-011</t>
        </is>
      </c>
      <c r="B56" s="2" t="inlineStr">
        <is>
          <t>PEOPLE</t>
        </is>
      </c>
      <c r="C56" s="2" t="inlineStr">
        <is>
          <t>毕业日期与教师字段</t>
        </is>
      </c>
      <c r="D56" s="2" t="inlineStr">
        <is>
          <t>P1</t>
        </is>
      </c>
      <c r="E56" s="2" t="inlineStr">
        <is>
          <t>FR-16,FR-18</t>
        </is>
      </c>
      <c r="F56" s="2" t="inlineStr">
        <is>
          <t>AC-11</t>
        </is>
      </c>
      <c r="G56" s="2" t="inlineStr">
        <is>
          <t>D10,D14</t>
        </is>
      </c>
      <c r="H56" s="2" t="inlineStr">
        <is>
          <t>按主文档第5章构建独立数据快照；毕业null/生日当天/早于生日/未来计划；院系缺失及非法状态</t>
        </is>
      </c>
      <c r="I56" s="2" t="inlineStr">
        <is>
          <t>毕业可空可未来但不早于出生；教师院系必填；枚举分人员类型</t>
        </is>
      </c>
      <c r="J56" s="2" t="inlineStr">
        <is>
          <t>构建/环境/数据版本、请求与traceId、前后数据库一致性快照；并发附屏障时间线，故障附注入与恢复日志</t>
        </is>
      </c>
      <c r="K56" s="2" t="inlineStr">
        <is>
          <t>自动化+人工核验</t>
        </is>
      </c>
      <c r="L56" s="2" t="inlineStr">
        <is>
          <t>R3/R5</t>
        </is>
      </c>
      <c r="M56" s="2" t="inlineStr">
        <is>
          <t>《设计文档_V2.0》第5、10.5、11；业务约束见《需求分析文档_V2.0》第5—7章</t>
        </is>
      </c>
      <c r="N56" s="2" t="inlineStr">
        <is>
          <t>列举的每个边界/枚举/时刻/浏览器组合均为必测variant；每variant留runId或参数化子结果，全部通过才可将整条标PASS</t>
        </is>
      </c>
    </row>
    <row r="57" ht="72" customHeight="1">
      <c r="A57" s="2" t="inlineStr">
        <is>
          <t>TC-PEOPLE-012</t>
        </is>
      </c>
      <c r="B57" s="2" t="inlineStr">
        <is>
          <t>PEOPLE</t>
        </is>
      </c>
      <c r="C57" s="2" t="inlineStr">
        <is>
          <t>重复逻辑删除幂等</t>
        </is>
      </c>
      <c r="D57" s="2" t="inlineStr">
        <is>
          <t>P0</t>
        </is>
      </c>
      <c r="E57" s="2" t="inlineStr">
        <is>
          <t>DATA-03,FR-17,FR-19</t>
        </is>
      </c>
      <c r="F57" s="2" t="inlineStr">
        <is>
          <t>AC-11</t>
        </is>
      </c>
      <c r="G57" s="2" t="inlineStr">
        <is>
          <t>D10,D14</t>
        </is>
      </c>
      <c r="H57" s="2" t="inlineStr">
        <is>
          <t>按主文档第5章构建独立数据快照；删除一次再重复删除已删ID并检查审计历史</t>
        </is>
      </c>
      <c r="I57" s="2" t="inlineStr">
        <is>
          <t>204无业务体；不重复业务删除事件；历史保留账号仍禁用</t>
        </is>
      </c>
      <c r="J57" s="2" t="inlineStr">
        <is>
          <t>构建/环境/数据版本、请求与traceId、前后数据库一致性快照；并发附屏障时间线，故障附注入与恢复日志</t>
        </is>
      </c>
      <c r="K57" s="2" t="inlineStr">
        <is>
          <t>自动化+人工核验</t>
        </is>
      </c>
      <c r="L57" s="2" t="inlineStr">
        <is>
          <t>R3/R5</t>
        </is>
      </c>
      <c r="M57" s="2" t="inlineStr">
        <is>
          <t>《设计文档_V2.0》第5、10.5、11；业务约束见《需求分析文档_V2.0》第5—7章</t>
        </is>
      </c>
      <c r="N57" s="2" t="inlineStr">
        <is>
          <t>列举的每个边界/枚举/时刻/浏览器组合均为必测variant；每variant留runId或参数化子结果，全部通过才可将整条标PASS</t>
        </is>
      </c>
    </row>
    <row r="58" ht="72" customHeight="1">
      <c r="A58" s="2" t="inlineStr">
        <is>
          <t>TC-PEOPLE-013</t>
        </is>
      </c>
      <c r="B58" s="2" t="inlineStr">
        <is>
          <t>PEOPLE</t>
        </is>
      </c>
      <c r="C58" s="2" t="inlineStr">
        <is>
          <t>历史仅查权限与停用分离</t>
        </is>
      </c>
      <c r="D58" s="2" t="inlineStr">
        <is>
          <t>P0</t>
        </is>
      </c>
      <c r="E58" s="2" t="inlineStr">
        <is>
          <t>SEC-03</t>
        </is>
      </c>
      <c r="F58" s="2" t="inlineStr"/>
      <c r="G58" s="2" t="inlineStr">
        <is>
          <t>D10,D14</t>
        </is>
      </c>
      <c r="H58" s="2" t="inlineStr">
        <is>
          <t>按主文档第5章构建独立数据快照；非ENROLLED读本人历史、非ON_DUTY录历史；DISABLED旧会话请求</t>
        </is>
      </c>
      <c r="I58" s="2" t="inlineStr">
        <is>
          <t>业务状态保留设计历史权限；账号禁用一律拒绝</t>
        </is>
      </c>
      <c r="J58" s="2" t="inlineStr">
        <is>
          <t>构建/环境/数据版本、请求与traceId、前后数据库一致性快照；并发附屏障时间线，故障附注入与恢复日志</t>
        </is>
      </c>
      <c r="K58" s="2" t="inlineStr">
        <is>
          <t>自动化+人工核验</t>
        </is>
      </c>
      <c r="L58" s="2" t="inlineStr">
        <is>
          <t>R3/R5</t>
        </is>
      </c>
      <c r="M58" s="2" t="inlineStr">
        <is>
          <t>《设计文档_V2.0》第5、10.5、11；业务约束见《需求分析文档_V2.0》第5—7章</t>
        </is>
      </c>
      <c r="N58" s="2" t="inlineStr">
        <is>
          <t>列举的每个边界/枚举/时刻/浏览器组合均为必测variant；每variant留runId或参数化子结果，全部通过才可将整条标PASS</t>
        </is>
      </c>
    </row>
    <row r="59" ht="72" customHeight="1">
      <c r="A59" s="2" t="inlineStr">
        <is>
          <t>TC-CLOSE-001</t>
        </is>
      </c>
      <c r="B59" s="2" t="inlineStr">
        <is>
          <t>CLOSE</t>
        </is>
      </c>
      <c r="C59" s="2" t="inlineStr">
        <is>
          <t>正常关闭完整流程</t>
        </is>
      </c>
      <c r="D59" s="2" t="inlineStr">
        <is>
          <t>P0</t>
        </is>
      </c>
      <c r="E59" s="2" t="inlineStr">
        <is>
          <t>FR-20,FR-23</t>
        </is>
      </c>
      <c r="F59" s="2" t="inlineStr">
        <is>
          <t>AC-12,AC-13,AC-15</t>
        </is>
      </c>
      <c r="G59" s="2" t="inlineStr">
        <is>
          <t>D06,D07</t>
        </is>
      </c>
      <c r="H59" s="2" t="inlineStr">
        <is>
          <t>按主文档第5章构建独立数据快照；管理员提交关闭；轮询至LOCAL_COMMITTED再等待计费</t>
        </is>
      </c>
      <c r="I59" s="2" t="inlineStr">
        <is>
          <t>202为已受理；一次生成最终课表账单outbox；最终COMPLETE</t>
        </is>
      </c>
      <c r="J59" s="2" t="inlineStr">
        <is>
          <t>构建/环境/数据版本、请求与traceId、前后数据库一致性快照；并发附屏障时间线，故障附注入与恢复日志</t>
        </is>
      </c>
      <c r="K59" s="2" t="inlineStr">
        <is>
          <t>自动化+人工核验</t>
        </is>
      </c>
      <c r="L59" s="2" t="inlineStr">
        <is>
          <t>R1/R2</t>
        </is>
      </c>
      <c r="M59" s="2" t="inlineStr">
        <is>
          <t>《设计文档_V2.0》第6、8、附录A；业务约束见《需求分析文档_V2.0》第5—7章</t>
        </is>
      </c>
      <c r="N59" s="2" t="inlineStr">
        <is>
          <t>列举的每个边界/枚举/时刻/浏览器组合均为必测variant；每variant留runId或参数化子结果，全部通过才可将整条标PASS</t>
        </is>
      </c>
    </row>
    <row r="60" ht="72" customHeight="1">
      <c r="A60" s="2" t="inlineStr">
        <is>
          <t>TC-CLOSE-002</t>
        </is>
      </c>
      <c r="B60" s="2" t="inlineStr">
        <is>
          <t>CLOSE</t>
        </is>
      </c>
      <c r="C60" s="2" t="inlineStr">
        <is>
          <t>无教师班取消</t>
        </is>
      </c>
      <c r="D60" s="2" t="inlineStr">
        <is>
          <t>P0</t>
        </is>
      </c>
      <c r="E60" s="2" t="inlineStr">
        <is>
          <t>BR-08,FR-20</t>
        </is>
      </c>
      <c r="F60" s="2" t="inlineStr">
        <is>
          <t>AC-12,AC-13,AC-15</t>
        </is>
      </c>
      <c r="G60" s="2" t="inlineStr">
        <is>
          <t>D06,D07</t>
        </is>
      </c>
      <c r="H60" s="2" t="inlineStr">
        <is>
          <t>按主文档第5章构建独立数据快照；准备无教师不同人数班并关闭</t>
        </is>
      </c>
      <c r="I60" s="2" t="inlineStr">
        <is>
          <t>全部无教师班取消；正式ACTIVE清零；替补按单遍规则</t>
        </is>
      </c>
      <c r="J60" s="2" t="inlineStr">
        <is>
          <t>构建/环境/数据版本、请求与traceId、前后数据库一致性快照；并发附屏障时间线，故障附注入与恢复日志</t>
        </is>
      </c>
      <c r="K60" s="2" t="inlineStr">
        <is>
          <t>自动化+人工核验</t>
        </is>
      </c>
      <c r="L60" s="2" t="inlineStr">
        <is>
          <t>R1/R2</t>
        </is>
      </c>
      <c r="M60" s="2" t="inlineStr">
        <is>
          <t>《设计文档_V2.0》第6、8、附录A；业务约束见《需求分析文档_V2.0》第5—7章</t>
        </is>
      </c>
      <c r="N60" s="2" t="inlineStr">
        <is>
          <t>列举的每个边界/枚举/时刻/浏览器组合均为必测variant；每variant留runId或参数化子结果，全部通过才可将整条标PASS</t>
        </is>
      </c>
    </row>
    <row r="61" ht="72" customHeight="1">
      <c r="A61" s="2" t="inlineStr">
        <is>
          <t>TC-CLOSE-003</t>
        </is>
      </c>
      <c r="B61" s="2" t="inlineStr">
        <is>
          <t>CLOSE</t>
        </is>
      </c>
      <c r="C61" s="2" t="inlineStr">
        <is>
          <t>2人保留至补位与3人有效</t>
        </is>
      </c>
      <c r="D61" s="2" t="inlineStr">
        <is>
          <t>P0</t>
        </is>
      </c>
      <c r="E61" s="2" t="inlineStr">
        <is>
          <t>BR-02,BR-08,FR-20</t>
        </is>
      </c>
      <c r="F61" s="2" t="inlineStr">
        <is>
          <t>AC-12,AC-13,AC-15</t>
        </is>
      </c>
      <c r="G61" s="2" t="inlineStr">
        <is>
          <t>D06,D07</t>
        </is>
      </c>
      <c r="H61" s="2" t="inlineStr">
        <is>
          <t>按主文档第5章构建独立数据快照；初始2人班有可替补、3人班正常关闭</t>
        </is>
      </c>
      <c r="I61" s="2" t="inlineStr">
        <is>
          <t>2人班先保留候选；最终&gt;=3存活否则取消；3人班有效</t>
        </is>
      </c>
      <c r="J61" s="2" t="inlineStr">
        <is>
          <t>构建/环境/数据版本、请求与traceId、前后数据库一致性快照；并发附屏障时间线，故障附注入与恢复日志</t>
        </is>
      </c>
      <c r="K61" s="2" t="inlineStr">
        <is>
          <t>自动化+人工核验</t>
        </is>
      </c>
      <c r="L61" s="2" t="inlineStr">
        <is>
          <t>R1/R2</t>
        </is>
      </c>
      <c r="M61" s="2" t="inlineStr">
        <is>
          <t>《设计文档_V2.0》第6、8、附录A；业务约束见《需求分析文档_V2.0》第5—7章</t>
        </is>
      </c>
      <c r="N61" s="2" t="inlineStr">
        <is>
          <t>列举的每个边界/枚举/时刻/浏览器组合均为必测variant；每variant留runId或参数化子结果，全部通过才可将整条标PASS</t>
        </is>
      </c>
    </row>
    <row r="62" ht="72" customHeight="1">
      <c r="A62" s="2" t="inlineStr">
        <is>
          <t>TC-CLOSE-004</t>
        </is>
      </c>
      <c r="B62" s="2" t="inlineStr">
        <is>
          <t>CLOSE</t>
        </is>
      </c>
      <c r="C62" s="2" t="inlineStr">
        <is>
          <t>四席替换最高序主选</t>
        </is>
      </c>
      <c r="D62" s="2" t="inlineStr">
        <is>
          <t>P0</t>
        </is>
      </c>
      <c r="E62" s="2" t="inlineStr">
        <is>
          <t>BR-15,FR-20</t>
        </is>
      </c>
      <c r="F62" s="2" t="inlineStr">
        <is>
          <t>AC-12,AC-13,AC-15</t>
        </is>
      </c>
      <c r="G62" s="2" t="inlineStr">
        <is>
          <t>D06,D07</t>
        </is>
      </c>
      <c r="H62" s="2" t="inlineStr">
        <is>
          <t>按主文档第5章构建独立数据快照；学生4席含未确认主选，设置合法备选</t>
        </is>
      </c>
      <c r="I62" s="2" t="inlineStr">
        <is>
          <t>假设移除choice_order最高未确认主选后验证；成功才真正替换</t>
        </is>
      </c>
      <c r="J62" s="2" t="inlineStr">
        <is>
          <t>构建/环境/数据版本、请求与traceId、前后数据库一致性快照；并发附屏障时间线，故障附注入与恢复日志</t>
        </is>
      </c>
      <c r="K62" s="2" t="inlineStr">
        <is>
          <t>自动化+人工核验</t>
        </is>
      </c>
      <c r="L62" s="2" t="inlineStr">
        <is>
          <t>R1/R2</t>
        </is>
      </c>
      <c r="M62" s="2" t="inlineStr">
        <is>
          <t>《设计文档_V2.0》第6、8、附录A；业务约束见《需求分析文档_V2.0》第5—7章</t>
        </is>
      </c>
      <c r="N62" s="2" t="inlineStr">
        <is>
          <t>列举的每个边界/枚举/时刻/浏览器组合均为必测variant；每variant留runId或参数化子结果，全部通过才可将整条标PASS</t>
        </is>
      </c>
    </row>
    <row r="63" ht="72" customHeight="1">
      <c r="A63" s="2" t="inlineStr">
        <is>
          <t>TC-CLOSE-005</t>
        </is>
      </c>
      <c r="B63" s="2" t="inlineStr">
        <is>
          <t>CLOSE</t>
        </is>
      </c>
      <c r="C63" s="2" t="inlineStr">
        <is>
          <t>备选失败不丢原席</t>
        </is>
      </c>
      <c r="D63" s="2" t="inlineStr">
        <is>
          <t>P0</t>
        </is>
      </c>
      <c r="E63" s="2" t="inlineStr">
        <is>
          <t>BR-03,BR-09,BR-15,FR-20</t>
        </is>
      </c>
      <c r="F63" s="2" t="inlineStr">
        <is>
          <t>AC-12,AC-13,AC-15</t>
        </is>
      </c>
      <c r="G63" s="2" t="inlineStr">
        <is>
          <t>D06,D07</t>
        </is>
      </c>
      <c r="H63" s="2" t="inlineStr">
        <is>
          <t>按主文档第5章构建独立数据快照；候选满员/先修/时间失败，再给合法第二备选</t>
        </is>
      </c>
      <c r="I63" s="2" t="inlineStr">
        <is>
          <t>失败不释放原席；顺序1再2；仅合法候选改变计划</t>
        </is>
      </c>
      <c r="J63" s="2" t="inlineStr">
        <is>
          <t>构建/环境/数据版本、请求与traceId、前后数据库一致性快照；并发附屏障时间线，故障附注入与恢复日志</t>
        </is>
      </c>
      <c r="K63" s="2" t="inlineStr">
        <is>
          <t>自动化+人工核验</t>
        </is>
      </c>
      <c r="L63" s="2" t="inlineStr">
        <is>
          <t>R1/R2</t>
        </is>
      </c>
      <c r="M63" s="2" t="inlineStr">
        <is>
          <t>《设计文档_V2.0》第6、8、附录A；业务约束见《需求分析文档_V2.0》第5—7章</t>
        </is>
      </c>
      <c r="N63" s="2" t="inlineStr">
        <is>
          <t>列举的每个边界/枚举/时刻/浏览器组合均为必测variant；每variant留runId或参数化子结果，全部通过才可将整条标PASS</t>
        </is>
      </c>
    </row>
    <row r="64" ht="72" customHeight="1">
      <c r="A64" s="2" t="inlineStr">
        <is>
          <t>TC-CLOSE-006</t>
        </is>
      </c>
      <c r="B64" s="2" t="inlineStr">
        <is>
          <t>CLOSE</t>
        </is>
      </c>
      <c r="C64" s="2" t="inlineStr">
        <is>
          <t>不回溯与不重复补位</t>
        </is>
      </c>
      <c r="D64" s="2" t="inlineStr">
        <is>
          <t>P0</t>
        </is>
      </c>
      <c r="E64" s="2" t="inlineStr">
        <is>
          <t>BR-01,BR-09,BR-15,FR-20</t>
        </is>
      </c>
      <c r="F64" s="2" t="inlineStr">
        <is>
          <t>AC-12,AC-13,AC-15</t>
        </is>
      </c>
      <c r="G64" s="2" t="inlineStr">
        <is>
          <t>D06,D07</t>
        </is>
      </c>
      <c r="H64" s="2" t="inlineStr">
        <is>
          <t>按主文档第5章构建独立数据快照；激活备选后设置后续低人数变化</t>
        </is>
      </c>
      <c r="I64" s="2" t="inlineStr">
        <is>
          <t>每人每备选最多处理一次；激活备选不作为可替换主选；无第二轮</t>
        </is>
      </c>
      <c r="J64" s="2" t="inlineStr">
        <is>
          <t>构建/环境/数据版本、请求与traceId、前后数据库一致性快照；并发附屏障时间线，故障附注入与恢复日志</t>
        </is>
      </c>
      <c r="K64" s="2" t="inlineStr">
        <is>
          <t>自动化+人工核验</t>
        </is>
      </c>
      <c r="L64" s="2" t="inlineStr">
        <is>
          <t>R1/R2</t>
        </is>
      </c>
      <c r="M64" s="2" t="inlineStr">
        <is>
          <t>《设计文档_V2.0》第6、8、附录A；业务约束见《需求分析文档_V2.0》第5—7章</t>
        </is>
      </c>
      <c r="N64" s="2" t="inlineStr">
        <is>
          <t>列举的每个边界/枚举/时刻/浏览器组合均为必测variant；每variant留runId或参数化子结果，全部通过才可将整条标PASS</t>
        </is>
      </c>
    </row>
    <row r="65" ht="72" customHeight="1">
      <c r="A65" s="2" t="inlineStr">
        <is>
          <t>TC-CLOSE-007</t>
        </is>
      </c>
      <c r="B65" s="2" t="inlineStr">
        <is>
          <t>CLOSE</t>
        </is>
      </c>
      <c r="C65" s="2" t="inlineStr">
        <is>
          <t>提交时间及ID排序</t>
        </is>
      </c>
      <c r="D65" s="2" t="inlineStr">
        <is>
          <t>P0</t>
        </is>
      </c>
      <c r="E65" s="2" t="inlineStr">
        <is>
          <t>BR-09,FR-20</t>
        </is>
      </c>
      <c r="F65" s="2" t="inlineStr">
        <is>
          <t>AC-12,AC-13,AC-15</t>
        </is>
      </c>
      <c r="G65" s="2" t="inlineStr">
        <is>
          <t>D06,D07</t>
        </is>
      </c>
      <c r="H65" s="2" t="inlineStr">
        <is>
          <t>按主文档第5章构建独立数据快照；first_submitted_at相同/不同、重提及同班竞争</t>
        </is>
      </c>
      <c r="I65" s="2" t="inlineStr">
        <is>
          <t>按首次时间再student_id确定顺序；重提不重置首次时间</t>
        </is>
      </c>
      <c r="J65" s="2" t="inlineStr">
        <is>
          <t>构建/环境/数据版本、请求与traceId、前后数据库一致性快照；并发附屏障时间线，故障附注入与恢复日志</t>
        </is>
      </c>
      <c r="K65" s="2" t="inlineStr">
        <is>
          <t>自动化+人工核验</t>
        </is>
      </c>
      <c r="L65" s="2" t="inlineStr">
        <is>
          <t>R1/R2</t>
        </is>
      </c>
      <c r="M65" s="2" t="inlineStr">
        <is>
          <t>《设计文档_V2.0》第6、8、附录A；业务约束见《需求分析文档_V2.0》第5—7章</t>
        </is>
      </c>
      <c r="N65" s="2" t="inlineStr">
        <is>
          <t>列举的每个边界/枚举/时刻/浏览器组合均为必测variant；每variant留runId或参数化子结果，全部通过才可将整条标PASS</t>
        </is>
      </c>
    </row>
    <row r="66" ht="72" customHeight="1">
      <c r="A66" s="2" t="inlineStr">
        <is>
          <t>TC-CLOSE-008</t>
        </is>
      </c>
      <c r="B66" s="2" t="inlineStr">
        <is>
          <t>CLOSE</t>
        </is>
      </c>
      <c r="C66" s="2" t="inlineStr">
        <is>
          <t>草稿删除停用参与过滤</t>
        </is>
      </c>
      <c r="D66" s="2" t="inlineStr">
        <is>
          <t>P0</t>
        </is>
      </c>
      <c r="E66" s="2" t="inlineStr">
        <is>
          <t>FR-20</t>
        </is>
      </c>
      <c r="F66" s="2" t="inlineStr">
        <is>
          <t>AC-12,AC-13,AC-15</t>
        </is>
      </c>
      <c r="G66" s="2" t="inlineStr">
        <is>
          <t>D06,D07</t>
        </is>
      </c>
      <c r="H66" s="2" t="inlineStr">
        <is>
          <t>按主文档第5章构建独立数据快照；纯草稿、DELETED、停用及退至0门已正式提交参与关闭</t>
        </is>
      </c>
      <c r="I66" s="2" t="inlineStr">
        <is>
          <t>前3类不自动补位/计费；合格零门提交者参与且可有0金额账单</t>
        </is>
      </c>
      <c r="J66" s="2" t="inlineStr">
        <is>
          <t>构建/环境/数据版本、请求与traceId、前后数据库一致性快照；并发附屏障时间线，故障附注入与恢复日志</t>
        </is>
      </c>
      <c r="K66" s="2" t="inlineStr">
        <is>
          <t>自动化+人工核验</t>
        </is>
      </c>
      <c r="L66" s="2" t="inlineStr">
        <is>
          <t>R1/R2</t>
        </is>
      </c>
      <c r="M66" s="2" t="inlineStr">
        <is>
          <t>《设计文档_V2.0》第6、8、附录A；业务约束见《需求分析文档_V2.0》第5—7章</t>
        </is>
      </c>
      <c r="N66" s="2" t="inlineStr">
        <is>
          <t>列举的每个边界/枚举/时刻/浏览器组合均为必测variant；每variant留runId或参数化子结果，全部通过才可将整条标PASS</t>
        </is>
      </c>
    </row>
    <row r="67" ht="72" customHeight="1">
      <c r="A67" s="2" t="inlineStr">
        <is>
          <t>TC-CLOSE-009</t>
        </is>
      </c>
      <c r="B67" s="2" t="inlineStr">
        <is>
          <t>CLOSE</t>
        </is>
      </c>
      <c r="C67" s="2" t="inlineStr">
        <is>
          <t>重复请求同一任务</t>
        </is>
      </c>
      <c r="D67" s="2" t="inlineStr">
        <is>
          <t>P0</t>
        </is>
      </c>
      <c r="E67" s="2" t="inlineStr">
        <is>
          <t>BR-16,FR-20,FR-23</t>
        </is>
      </c>
      <c r="F67" s="2" t="inlineStr">
        <is>
          <t>AC-12,AC-13,AC-15</t>
        </is>
      </c>
      <c r="G67" s="2" t="inlineStr">
        <is>
          <t>D06,D07</t>
        </is>
      </c>
      <c r="H67" s="2" t="inlineStr">
        <is>
          <t>按主文档第5章构建独立数据快照；并发或重复请求同学期关闭</t>
        </is>
      </c>
      <c r="I67" s="2" t="inlineStr">
        <is>
          <t>仅一个逻辑close_job；已完成可查询；不新增账单</t>
        </is>
      </c>
      <c r="J67" s="2" t="inlineStr">
        <is>
          <t>构建/环境/数据版本、请求与traceId、前后数据库一致性快照；并发附屏障时间线，故障附注入与恢复日志</t>
        </is>
      </c>
      <c r="K67" s="2" t="inlineStr">
        <is>
          <t>自动化+人工核验</t>
        </is>
      </c>
      <c r="L67" s="2" t="inlineStr">
        <is>
          <t>R1/R2</t>
        </is>
      </c>
      <c r="M67" s="2" t="inlineStr">
        <is>
          <t>《设计文档_V2.0》第6、8、附录A；业务约束见《需求分析文档_V2.0》第5—7章</t>
        </is>
      </c>
      <c r="N67" s="2" t="inlineStr">
        <is>
          <t>列举的每个边界/枚举/时刻/浏览器组合均为必测variant；每variant留runId或参数化子结果，全部通过才可将整条标PASS</t>
        </is>
      </c>
    </row>
    <row r="68" ht="72" customHeight="1">
      <c r="A68" s="2" t="inlineStr">
        <is>
          <t>TC-CLOSE-010</t>
        </is>
      </c>
      <c r="B68" s="2" t="inlineStr">
        <is>
          <t>CLOSE</t>
        </is>
      </c>
      <c r="C68" s="2" t="inlineStr">
        <is>
          <t>提交前异常回滚</t>
        </is>
      </c>
      <c r="D68" s="2" t="inlineStr">
        <is>
          <t>P0</t>
        </is>
      </c>
      <c r="E68" s="2" t="inlineStr">
        <is>
          <t>FR-20</t>
        </is>
      </c>
      <c r="F68" s="2" t="inlineStr">
        <is>
          <t>AC-12,AC-13,AC-15</t>
        </is>
      </c>
      <c r="G68" s="2" t="inlineStr">
        <is>
          <t>D06,D07</t>
        </is>
      </c>
      <c r="H68" s="2" t="inlineStr">
        <is>
          <t>按主文档第5章构建独立数据快照；分别在补位、账单、outbox和COMMIT前注入失败</t>
        </is>
      </c>
      <c r="I68" s="2" t="inlineStr">
        <is>
          <t>业务全部回原OPEN和旧正式状态；任务失败与审计可记录</t>
        </is>
      </c>
      <c r="J68" s="2" t="inlineStr">
        <is>
          <t>构建/环境/数据版本、请求与traceId、前后数据库一致性快照；并发附屏障时间线，故障附注入与恢复日志</t>
        </is>
      </c>
      <c r="K68" s="2" t="inlineStr">
        <is>
          <t>自动化+人工核验</t>
        </is>
      </c>
      <c r="L68" s="2" t="inlineStr">
        <is>
          <t>R1/R2</t>
        </is>
      </c>
      <c r="M68" s="2" t="inlineStr">
        <is>
          <t>《设计文档_V2.0》第6、8、附录A；业务约束见《需求分析文档_V2.0》第5—7章</t>
        </is>
      </c>
      <c r="N68" s="2" t="inlineStr">
        <is>
          <t>列举的每个边界/枚举/时刻/浏览器组合均为必测variant；每variant留runId或参数化子结果，全部通过才可将整条标PASS</t>
        </is>
      </c>
    </row>
    <row r="69" ht="72" customHeight="1">
      <c r="A69" s="2" t="inlineStr">
        <is>
          <t>TC-CLOSE-011</t>
        </is>
      </c>
      <c r="B69" s="2" t="inlineStr">
        <is>
          <t>CLOSE</t>
        </is>
      </c>
      <c r="C69" s="2" t="inlineStr">
        <is>
          <t>关闭提交后进程中断</t>
        </is>
      </c>
      <c r="D69" s="2" t="inlineStr">
        <is>
          <t>P0</t>
        </is>
      </c>
      <c r="E69" s="2" t="inlineStr">
        <is>
          <t>FR-20</t>
        </is>
      </c>
      <c r="F69" s="2" t="inlineStr">
        <is>
          <t>AC-12,AC-13,AC-15</t>
        </is>
      </c>
      <c r="G69" s="2" t="inlineStr">
        <is>
          <t>D06,D07</t>
        </is>
      </c>
      <c r="H69" s="2" t="inlineStr">
        <is>
          <t>按主文档第5章构建独立数据快照；LOCAL_COMMITTED后、发计费前终止进程再启动</t>
        </is>
      </c>
      <c r="I69" s="2" t="inlineStr">
        <is>
          <t>CLOSED和最终课表保留；outbox恢复；不重复结算</t>
        </is>
      </c>
      <c r="J69" s="2" t="inlineStr">
        <is>
          <t>构建/环境/数据版本、请求与traceId、前后数据库一致性快照；并发附屏障时间线，故障附注入与恢复日志</t>
        </is>
      </c>
      <c r="K69" s="2" t="inlineStr">
        <is>
          <t>自动化+人工核验</t>
        </is>
      </c>
      <c r="L69" s="2" t="inlineStr">
        <is>
          <t>R1/R2</t>
        </is>
      </c>
      <c r="M69" s="2" t="inlineStr">
        <is>
          <t>《设计文档_V2.0》第6、8、附录A；业务约束见《需求分析文档_V2.0》第5—7章</t>
        </is>
      </c>
      <c r="N69" s="2" t="inlineStr">
        <is>
          <t>列举的每个边界/枚举/时刻/浏览器组合均为必测variant；每variant留runId或参数化子结果，全部通过才可将整条标PASS</t>
        </is>
      </c>
    </row>
    <row r="70" ht="72" customHeight="1">
      <c r="A70" s="2" t="inlineStr">
        <is>
          <t>TC-CLOSE-012</t>
        </is>
      </c>
      <c r="B70" s="2" t="inlineStr">
        <is>
          <t>CLOSE</t>
        </is>
      </c>
      <c r="C70" s="2" t="inlineStr">
        <is>
          <t>最终全量不变量</t>
        </is>
      </c>
      <c r="D70" s="2" t="inlineStr">
        <is>
          <t>P0</t>
        </is>
      </c>
      <c r="E70" s="2" t="inlineStr">
        <is>
          <t>BR-02,BR-08,BR-15,DATA-02,FR-20</t>
        </is>
      </c>
      <c r="F70" s="2" t="inlineStr">
        <is>
          <t>AC-12,AC-13,AC-15</t>
        </is>
      </c>
      <c r="G70" s="2" t="inlineStr">
        <is>
          <t>D06,D07</t>
        </is>
      </c>
      <c r="H70" s="2" t="inlineStr">
        <is>
          <t>按主文档第5章构建独立数据快照；对关闭结果逐班逐人及金额快照检查</t>
        </is>
      </c>
      <c r="I70" s="2" t="inlineStr">
        <is>
          <t>学生&lt;=4；有效班有教师且3-10；取消班ACTIVE0；1000.00/门CNY精确</t>
        </is>
      </c>
      <c r="J70" s="2" t="inlineStr">
        <is>
          <t>构建/环境/数据版本、请求与traceId、前后数据库一致性快照；并发附屏障时间线，故障附注入与恢复日志</t>
        </is>
      </c>
      <c r="K70" s="2" t="inlineStr">
        <is>
          <t>自动化+人工核验</t>
        </is>
      </c>
      <c r="L70" s="2" t="inlineStr">
        <is>
          <t>R1/R2</t>
        </is>
      </c>
      <c r="M70" s="2" t="inlineStr">
        <is>
          <t>《设计文档_V2.0》第6、8、附录A；业务约束见《需求分析文档_V2.0》第5—7章</t>
        </is>
      </c>
      <c r="N70" s="2" t="inlineStr">
        <is>
          <t>列举的每个边界/枚举/时刻/浏览器组合均为必测variant；每variant留runId或参数化子结果，全部通过才可将整条标PASS</t>
        </is>
      </c>
    </row>
    <row r="71" ht="72" customHeight="1">
      <c r="A71" s="2" t="inlineStr">
        <is>
          <t>TC-BILL-001</t>
        </is>
      </c>
      <c r="B71" s="2" t="inlineStr">
        <is>
          <t>BILL</t>
        </is>
      </c>
      <c r="C71" s="2" t="inlineStr">
        <is>
          <t>正常发送与状态</t>
        </is>
      </c>
      <c r="D71" s="2" t="inlineStr">
        <is>
          <t>P0</t>
        </is>
      </c>
      <c r="E71" s="2" t="inlineStr">
        <is>
          <t>FR-22,FR-23</t>
        </is>
      </c>
      <c r="F71" s="2" t="inlineStr">
        <is>
          <t>AC-14</t>
        </is>
      </c>
      <c r="G71" s="2" t="inlineStr">
        <is>
          <t>D08</t>
        </is>
      </c>
      <c r="H71" s="2" t="inlineStr">
        <is>
          <t>按主文档第5章构建独立数据快照；消费关闭账单outbox，查看回执与管理员界面</t>
        </is>
      </c>
      <c r="I71" s="2" t="inlineStr">
        <is>
          <t>业务键唯一；金额精确；SENT与external_ref正确；全部确认后COMPLETE</t>
        </is>
      </c>
      <c r="J71" s="2" t="inlineStr">
        <is>
          <t>构建/环境/数据版本、请求与traceId、前后数据库一致性快照；并发附屏障时间线，故障附注入与恢复日志</t>
        </is>
      </c>
      <c r="K71" s="2" t="inlineStr">
        <is>
          <t>自动化+人工核验</t>
        </is>
      </c>
      <c r="L71" s="2" t="inlineStr">
        <is>
          <t>R1/R2</t>
        </is>
      </c>
      <c r="M71" s="2" t="inlineStr">
        <is>
          <t>《设计文档_V2.0》第9、附录A；业务约束见《需求分析文档_V2.0》第5—7章</t>
        </is>
      </c>
      <c r="N71" s="2" t="inlineStr">
        <is>
          <t>列举的每个边界/枚举/时刻/浏览器组合均为必测variant；每variant留runId或参数化子结果，全部通过才可将整条标PASS</t>
        </is>
      </c>
    </row>
    <row r="72" ht="72" customHeight="1">
      <c r="A72" s="2" t="inlineStr">
        <is>
          <t>TC-BILL-002</t>
        </is>
      </c>
      <c r="B72" s="2" t="inlineStr">
        <is>
          <t>BILL</t>
        </is>
      </c>
      <c r="C72" s="2" t="inlineStr">
        <is>
          <t>持续失败至少六次</t>
        </is>
      </c>
      <c r="D72" s="2" t="inlineStr">
        <is>
          <t>P0</t>
        </is>
      </c>
      <c r="E72" s="2" t="inlineStr">
        <is>
          <t>FR-22</t>
        </is>
      </c>
      <c r="F72" s="2" t="inlineStr">
        <is>
          <t>AC-14</t>
        </is>
      </c>
      <c r="G72" s="2" t="inlineStr">
        <is>
          <t>D08</t>
        </is>
      </c>
      <c r="H72" s="2" t="inlineStr">
        <is>
          <t>按主文档第5章构建独立数据快照；远端连续拒绝&gt;=6次再恢复</t>
        </is>
      </c>
      <c r="I72" s="2" t="inlineStr">
        <is>
          <t>退避5秒起上限300加抖动；持续自动重试，无5次终止；恢复确认</t>
        </is>
      </c>
      <c r="J72" s="2" t="inlineStr">
        <is>
          <t>构建/环境/数据版本、请求与traceId、前后数据库一致性快照；并发附屏障时间线，故障附注入与恢复日志</t>
        </is>
      </c>
      <c r="K72" s="2" t="inlineStr">
        <is>
          <t>自动化+人工核验</t>
        </is>
      </c>
      <c r="L72" s="2" t="inlineStr">
        <is>
          <t>R1/R2</t>
        </is>
      </c>
      <c r="M72" s="2" t="inlineStr">
        <is>
          <t>《设计文档_V2.0》第9、附录A；业务约束见《需求分析文档_V2.0》第5—7章</t>
        </is>
      </c>
      <c r="N72" s="2" t="inlineStr">
        <is>
          <t>列举的每个边界/枚举/时刻/浏览器组合均为必测variant；每variant留runId或参数化子结果，全部通过才可将整条标PASS</t>
        </is>
      </c>
    </row>
    <row r="73" ht="72" customHeight="1">
      <c r="A73" s="2" t="inlineStr">
        <is>
          <t>TC-BILL-003</t>
        </is>
      </c>
      <c r="B73" s="2" t="inlineStr">
        <is>
          <t>BILL</t>
        </is>
      </c>
      <c r="C73" s="2" t="inlineStr">
        <is>
          <t>接收成功响应丢失</t>
        </is>
      </c>
      <c r="D73" s="2" t="inlineStr">
        <is>
          <t>P0</t>
        </is>
      </c>
      <c r="E73" s="2" t="inlineStr">
        <is>
          <t>BR-16,FR-22</t>
        </is>
      </c>
      <c r="F73" s="2" t="inlineStr">
        <is>
          <t>AC-14</t>
        </is>
      </c>
      <c r="G73" s="2" t="inlineStr">
        <is>
          <t>D08</t>
        </is>
      </c>
      <c r="H73" s="2" t="inlineStr">
        <is>
          <t>按主文档第5章构建独立数据快照；远端持久接收后丢弃响应再重试</t>
        </is>
      </c>
      <c r="I73" s="2" t="inlineStr">
        <is>
          <t>可多次传输；持久收费记录仅1条；最终回执一致</t>
        </is>
      </c>
      <c r="J73" s="2" t="inlineStr">
        <is>
          <t>构建/环境/数据版本、请求与traceId、前后数据库一致性快照；并发附屏障时间线，故障附注入与恢复日志</t>
        </is>
      </c>
      <c r="K73" s="2" t="inlineStr">
        <is>
          <t>自动化+人工核验</t>
        </is>
      </c>
      <c r="L73" s="2" t="inlineStr">
        <is>
          <t>R1/R2</t>
        </is>
      </c>
      <c r="M73" s="2" t="inlineStr">
        <is>
          <t>《设计文档_V2.0》第9、附录A；业务约束见《需求分析文档_V2.0》第5—7章</t>
        </is>
      </c>
      <c r="N73" s="2" t="inlineStr">
        <is>
          <t>列举的每个边界/枚举/时刻/浏览器组合均为必测variant；每variant留runId或参数化子结果，全部通过才可将整条标PASS</t>
        </is>
      </c>
    </row>
    <row r="74" ht="72" customHeight="1">
      <c r="A74" s="2" t="inlineStr">
        <is>
          <t>TC-BILL-004</t>
        </is>
      </c>
      <c r="B74" s="2" t="inlineStr">
        <is>
          <t>BILL</t>
        </is>
      </c>
      <c r="C74" s="2" t="inlineStr">
        <is>
          <t>远端不可用本地已关闭</t>
        </is>
      </c>
      <c r="D74" s="2" t="inlineStr">
        <is>
          <t>P0</t>
        </is>
      </c>
      <c r="E74" s="2" t="inlineStr">
        <is>
          <t>FR-22,FR-23</t>
        </is>
      </c>
      <c r="F74" s="2" t="inlineStr">
        <is>
          <t>AC-14</t>
        </is>
      </c>
      <c r="G74" s="2" t="inlineStr">
        <is>
          <t>D08</t>
        </is>
      </c>
      <c r="H74" s="2" t="inlineStr">
        <is>
          <t>按主文档第5章构建独立数据快照；关闭期间远端不可达，读取课表和状态</t>
        </is>
      </c>
      <c r="I74" s="2" t="inlineStr">
        <is>
          <t>本地CLOSED保留；LOCAL_COMMITTED/待发送明确；不宣称COMPLETE</t>
        </is>
      </c>
      <c r="J74" s="2" t="inlineStr">
        <is>
          <t>构建/环境/数据版本、请求与traceId、前后数据库一致性快照；并发附屏障时间线，故障附注入与恢复日志</t>
        </is>
      </c>
      <c r="K74" s="2" t="inlineStr">
        <is>
          <t>自动化+人工核验</t>
        </is>
      </c>
      <c r="L74" s="2" t="inlineStr">
        <is>
          <t>R1/R2</t>
        </is>
      </c>
      <c r="M74" s="2" t="inlineStr">
        <is>
          <t>《设计文档_V2.0》第9、附录A；业务约束见《需求分析文档_V2.0》第5—7章</t>
        </is>
      </c>
      <c r="N74" s="2" t="inlineStr">
        <is>
          <t>列举的每个边界/枚举/时刻/浏览器组合均为必测variant；每variant留runId或参数化子结果，全部通过才可将整条标PASS</t>
        </is>
      </c>
    </row>
    <row r="75" ht="72" customHeight="1">
      <c r="A75" s="2" t="inlineStr">
        <is>
          <t>TC-BILL-005</t>
        </is>
      </c>
      <c r="B75" s="2" t="inlineStr">
        <is>
          <t>BILL</t>
        </is>
      </c>
      <c r="C75" s="2" t="inlineStr">
        <is>
          <t>账单快照及hash冲突</t>
        </is>
      </c>
      <c r="D75" s="2" t="inlineStr">
        <is>
          <t>P0</t>
        </is>
      </c>
      <c r="E75" s="2" t="inlineStr">
        <is>
          <t>FR-22</t>
        </is>
      </c>
      <c r="F75" s="2" t="inlineStr">
        <is>
          <t>AC-14</t>
        </is>
      </c>
      <c r="G75" s="2" t="inlineStr">
        <is>
          <t>D08</t>
        </is>
      </c>
      <c r="H75" s="2" t="inlineStr">
        <is>
          <t>按主文档第5章构建独立数据快照；发送后变更目录显示字段；同业务键不同hash发远端</t>
        </is>
      </c>
      <c r="I75" s="2" t="inlineStr">
        <is>
          <t>原payload不可变；远端拒绝冲突hash，不覆盖已收费记录</t>
        </is>
      </c>
      <c r="J75" s="2" t="inlineStr">
        <is>
          <t>构建/环境/数据版本、请求与traceId、前后数据库一致性快照；并发附屏障时间线，故障附注入与恢复日志</t>
        </is>
      </c>
      <c r="K75" s="2" t="inlineStr">
        <is>
          <t>自动化+人工核验</t>
        </is>
      </c>
      <c r="L75" s="2" t="inlineStr">
        <is>
          <t>R1/R2</t>
        </is>
      </c>
      <c r="M75" s="2" t="inlineStr">
        <is>
          <t>《设计文档_V2.0》第9、附录A；业务约束见《需求分析文档_V2.0》第5—7章</t>
        </is>
      </c>
      <c r="N75" s="2" t="inlineStr">
        <is>
          <t>列举的每个边界/枚举/时刻/浏览器组合均为必测variant；每variant留runId或参数化子结果，全部通过才可将整条标PASS</t>
        </is>
      </c>
    </row>
    <row r="76" ht="72" customHeight="1">
      <c r="A76" s="2" t="inlineStr">
        <is>
          <t>TC-BILL-006</t>
        </is>
      </c>
      <c r="B76" s="2" t="inlineStr">
        <is>
          <t>BILL</t>
        </is>
      </c>
      <c r="C76" s="2" t="inlineStr">
        <is>
          <t>发送worker崩溃租约恢复</t>
        </is>
      </c>
      <c r="D76" s="2" t="inlineStr">
        <is>
          <t>P0</t>
        </is>
      </c>
      <c r="E76" s="2" t="inlineStr">
        <is>
          <t>FR-22</t>
        </is>
      </c>
      <c r="F76" s="2" t="inlineStr">
        <is>
          <t>AC-14</t>
        </is>
      </c>
      <c r="G76" s="2" t="inlineStr">
        <is>
          <t>D08</t>
        </is>
      </c>
      <c r="H76" s="2" t="inlineStr">
        <is>
          <t>按主文档第5章构建独立数据快照；领取SENDING后崩溃，超过30秒再启动worker</t>
        </is>
      </c>
      <c r="I76" s="2" t="inlineStr">
        <is>
          <t>过期任务重新领取；业务键不变；不丢任务</t>
        </is>
      </c>
      <c r="J76" s="2" t="inlineStr">
        <is>
          <t>构建/环境/数据版本、请求与traceId、前后数据库一致性快照；并发附屏障时间线，故障附注入与恢复日志</t>
        </is>
      </c>
      <c r="K76" s="2" t="inlineStr">
        <is>
          <t>自动化+人工核验</t>
        </is>
      </c>
      <c r="L76" s="2" t="inlineStr">
        <is>
          <t>R1/R2</t>
        </is>
      </c>
      <c r="M76" s="2" t="inlineStr">
        <is>
          <t>《设计文档_V2.0》第9、附录A；业务约束见《需求分析文档_V2.0》第5—7章</t>
        </is>
      </c>
      <c r="N76" s="2" t="inlineStr">
        <is>
          <t>列举的每个边界/枚举/时刻/浏览器组合均为必测variant；每variant留runId或参数化子结果，全部通过才可将整条标PASS</t>
        </is>
      </c>
    </row>
    <row r="77" ht="72" customHeight="1">
      <c r="A77" s="2" t="inlineStr">
        <is>
          <t>TC-BILL-007</t>
        </is>
      </c>
      <c r="B77" s="2" t="inlineStr">
        <is>
          <t>BILL</t>
        </is>
      </c>
      <c r="C77" s="2" t="inlineStr">
        <is>
          <t>旧租约迟到回调</t>
        </is>
      </c>
      <c r="D77" s="2" t="inlineStr">
        <is>
          <t>P0</t>
        </is>
      </c>
      <c r="E77" s="2" t="inlineStr">
        <is>
          <t>BR-16,FR-22</t>
        </is>
      </c>
      <c r="F77" s="2" t="inlineStr">
        <is>
          <t>AC-14</t>
        </is>
      </c>
      <c r="G77" s="2" t="inlineStr">
        <is>
          <t>D08</t>
        </is>
      </c>
      <c r="H77" s="2" t="inlineStr">
        <is>
          <t>按主文档第5章构建独立数据快照；新token已领取后旧worker写失败或成功</t>
        </is>
      </c>
      <c r="I77" s="2" t="inlineStr">
        <is>
          <t>旧token不能覆盖新状态；不回退SENT</t>
        </is>
      </c>
      <c r="J77" s="2" t="inlineStr">
        <is>
          <t>构建/环境/数据版本、请求与traceId、前后数据库一致性快照；并发附屏障时间线，故障附注入与恢复日志</t>
        </is>
      </c>
      <c r="K77" s="2" t="inlineStr">
        <is>
          <t>自动化+人工核验</t>
        </is>
      </c>
      <c r="L77" s="2" t="inlineStr">
        <is>
          <t>R1/R2</t>
        </is>
      </c>
      <c r="M77" s="2" t="inlineStr">
        <is>
          <t>《设计文档_V2.0》第9、附录A；业务约束见《需求分析文档_V2.0》第5—7章</t>
        </is>
      </c>
      <c r="N77" s="2" t="inlineStr">
        <is>
          <t>列举的每个边界/枚举/时刻/浏览器组合均为必测variant；每variant留runId或参数化子结果，全部通过才可将整条标PASS</t>
        </is>
      </c>
    </row>
    <row r="78" ht="72" customHeight="1">
      <c r="A78" s="2" t="inlineStr">
        <is>
          <t>TC-BILL-008</t>
        </is>
      </c>
      <c r="B78" s="2" t="inlineStr">
        <is>
          <t>BILL</t>
        </is>
      </c>
      <c r="C78" s="2" t="inlineStr">
        <is>
          <t>多worker领取</t>
        </is>
      </c>
      <c r="D78" s="2" t="inlineStr">
        <is>
          <t>P0</t>
        </is>
      </c>
      <c r="E78" s="2" t="inlineStr">
        <is>
          <t>FR-22</t>
        </is>
      </c>
      <c r="F78" s="2" t="inlineStr">
        <is>
          <t>AC-14</t>
        </is>
      </c>
      <c r="G78" s="2" t="inlineStr">
        <is>
          <t>D08</t>
        </is>
      </c>
      <c r="H78" s="2" t="inlineStr">
        <is>
          <t>按主文档第5章构建独立数据快照；两个worker同时领取同批任务</t>
        </is>
      </c>
      <c r="I78" s="2" t="inlineStr">
        <is>
          <t>SKIP LOCKED短事务；有效租约最多一个所有者；外调不持长DB事务</t>
        </is>
      </c>
      <c r="J78" s="2" t="inlineStr">
        <is>
          <t>构建/环境/数据版本、请求与traceId、前后数据库一致性快照；并发附屏障时间线，故障附注入与恢复日志</t>
        </is>
      </c>
      <c r="K78" s="2" t="inlineStr">
        <is>
          <t>自动化+人工核验</t>
        </is>
      </c>
      <c r="L78" s="2" t="inlineStr">
        <is>
          <t>R1/R2</t>
        </is>
      </c>
      <c r="M78" s="2" t="inlineStr">
        <is>
          <t>《设计文档_V2.0》第9、附录A；业务约束见《需求分析文档_V2.0》第5—7章</t>
        </is>
      </c>
      <c r="N78" s="2" t="inlineStr">
        <is>
          <t>列举的每个边界/枚举/时刻/浏览器组合均为必测variant；每variant留runId或参数化子结果，全部通过才可将整条标PASS</t>
        </is>
      </c>
    </row>
    <row r="79" ht="72" customHeight="1">
      <c r="A79" s="2" t="inlineStr">
        <is>
          <t>TC-BILL-009</t>
        </is>
      </c>
      <c r="B79" s="2" t="inlineStr">
        <is>
          <t>BILL</t>
        </is>
      </c>
      <c r="C79" s="2" t="inlineStr">
        <is>
          <t>管理员重试边界</t>
        </is>
      </c>
      <c r="D79" s="2" t="inlineStr">
        <is>
          <t>P0</t>
        </is>
      </c>
      <c r="E79" s="2" t="inlineStr">
        <is>
          <t>FR-22,FR-23</t>
        </is>
      </c>
      <c r="F79" s="2" t="inlineStr">
        <is>
          <t>AC-14</t>
        </is>
      </c>
      <c r="G79" s="2" t="inlineStr">
        <is>
          <t>D08</t>
        </is>
      </c>
      <c r="H79" s="2" t="inlineStr">
        <is>
          <t>按主文档第5章构建独立数据快照；待重试、有效租约中、SENT分别点击重试</t>
        </is>
      </c>
      <c r="I79" s="2" t="inlineStr">
        <is>
          <t>仅加速同任务；有效租约不另发；SENT不新增账单</t>
        </is>
      </c>
      <c r="J79" s="2" t="inlineStr">
        <is>
          <t>构建/环境/数据版本、请求与traceId、前后数据库一致性快照；并发附屏障时间线，故障附注入与恢复日志</t>
        </is>
      </c>
      <c r="K79" s="2" t="inlineStr">
        <is>
          <t>自动化+人工核验</t>
        </is>
      </c>
      <c r="L79" s="2" t="inlineStr">
        <is>
          <t>R1/R2</t>
        </is>
      </c>
      <c r="M79" s="2" t="inlineStr">
        <is>
          <t>《设计文档_V2.0》第9、附录A；业务约束见《需求分析文档_V2.0》第5—7章</t>
        </is>
      </c>
      <c r="N79" s="2" t="inlineStr">
        <is>
          <t>列举的每个边界/枚举/时刻/浏览器组合均为必测variant；每variant留runId或参数化子结果，全部通过才可将整条标PASS</t>
        </is>
      </c>
    </row>
    <row r="80" ht="72" customHeight="1">
      <c r="A80" s="2" t="inlineStr">
        <is>
          <t>TC-BILL-010</t>
        </is>
      </c>
      <c r="B80" s="2" t="inlineStr">
        <is>
          <t>BILL</t>
        </is>
      </c>
      <c r="C80" s="2" t="inlineStr">
        <is>
          <t>远端重启持久幂等</t>
        </is>
      </c>
      <c r="D80" s="2" t="inlineStr">
        <is>
          <t>P0</t>
        </is>
      </c>
      <c r="E80" s="2" t="inlineStr">
        <is>
          <t>FR-22</t>
        </is>
      </c>
      <c r="F80" s="2" t="inlineStr">
        <is>
          <t>AC-14</t>
        </is>
      </c>
      <c r="G80" s="2" t="inlineStr">
        <is>
          <t>D08</t>
        </is>
      </c>
      <c r="H80" s="2" t="inlineStr">
        <is>
          <t>按主文档第5章构建独立数据快照；接收记录后重启模拟计费服务并重发</t>
        </is>
      </c>
      <c r="I80" s="2" t="inlineStr">
        <is>
          <t>回执仍存在且只收费一次；模拟器持久库不被清空</t>
        </is>
      </c>
      <c r="J80" s="2" t="inlineStr">
        <is>
          <t>构建/环境/数据版本、请求与traceId、前后数据库一致性快照；并发附屏障时间线，故障附注入与恢复日志</t>
        </is>
      </c>
      <c r="K80" s="2" t="inlineStr">
        <is>
          <t>自动化+人工核验</t>
        </is>
      </c>
      <c r="L80" s="2" t="inlineStr">
        <is>
          <t>R1/R2</t>
        </is>
      </c>
      <c r="M80" s="2" t="inlineStr">
        <is>
          <t>《设计文档_V2.0》第9、附录A；业务约束见《需求分析文档_V2.0》第5—7章</t>
        </is>
      </c>
      <c r="N80" s="2" t="inlineStr">
        <is>
          <t>列举的每个边界/枚举/时刻/浏览器组合均为必测variant；每variant留runId或参数化子结果，全部通过才可将整条标PASS</t>
        </is>
      </c>
    </row>
    <row r="81" ht="72" customHeight="1">
      <c r="A81" s="2" t="inlineStr">
        <is>
          <t>TC-BILL-011</t>
        </is>
      </c>
      <c r="B81" s="2" t="inlineStr">
        <is>
          <t>BILL</t>
        </is>
      </c>
      <c r="C81" s="2" t="inlineStr">
        <is>
          <t>远端成功本地确认写失败</t>
        </is>
      </c>
      <c r="D81" s="2" t="inlineStr">
        <is>
          <t>P0</t>
        </is>
      </c>
      <c r="E81" s="2" t="inlineStr">
        <is>
          <t>BR-16,FR-22</t>
        </is>
      </c>
      <c r="F81" s="2" t="inlineStr">
        <is>
          <t>AC-14</t>
        </is>
      </c>
      <c r="G81" s="2" t="inlineStr">
        <is>
          <t>D08</t>
        </is>
      </c>
      <c r="H81" s="2" t="inlineStr">
        <is>
          <t>按主文档第5章构建独立数据快照；远端返回确认后注入本地SENT写事务失败再恢复</t>
        </is>
      </c>
      <c r="I81" s="2" t="inlineStr">
        <is>
          <t>业务键外部仅1；租约重领持续重试；最终SENT及external_ref正确</t>
        </is>
      </c>
      <c r="J81" s="2" t="inlineStr">
        <is>
          <t>构建/环境/数据版本、请求与traceId、前后数据库一致性快照；并发附屏障时间线，故障附注入与恢复日志</t>
        </is>
      </c>
      <c r="K81" s="2" t="inlineStr">
        <is>
          <t>自动化+人工核验</t>
        </is>
      </c>
      <c r="L81" s="2" t="inlineStr">
        <is>
          <t>R1/R2</t>
        </is>
      </c>
      <c r="M81" s="2" t="inlineStr">
        <is>
          <t>《设计文档_V2.0》第9、附录A；业务约束见《需求分析文档_V2.0》第5—7章</t>
        </is>
      </c>
      <c r="N81" s="2" t="inlineStr">
        <is>
          <t>列举的每个边界/枚举/时刻/浏览器组合均为必测variant；每variant留runId或参数化子结果，全部通过才可将整条标PASS</t>
        </is>
      </c>
    </row>
    <row r="82" ht="72" customHeight="1">
      <c r="A82" s="2" t="inlineStr">
        <is>
          <t>TC-BILL-012</t>
        </is>
      </c>
      <c r="B82" s="2" t="inlineStr">
        <is>
          <t>BILL</t>
        </is>
      </c>
      <c r="C82" s="2" t="inlineStr">
        <is>
          <t>已提交账单人员删除</t>
        </is>
      </c>
      <c r="D82" s="2" t="inlineStr">
        <is>
          <t>P0</t>
        </is>
      </c>
      <c r="E82" s="2" t="inlineStr">
        <is>
          <t>DATA-03,FR-22</t>
        </is>
      </c>
      <c r="F82" s="2" t="inlineStr">
        <is>
          <t>AC-14</t>
        </is>
      </c>
      <c r="G82" s="2" t="inlineStr">
        <is>
          <t>D08</t>
        </is>
      </c>
      <c r="H82" s="2" t="inlineStr">
        <is>
          <t>按主文档第5章构建独立数据快照；本地关闭形成账单后合法逻辑删除人员，恢复计费</t>
        </is>
      </c>
      <c r="I82" s="2" t="inlineStr">
        <is>
          <t>不可变快照及outbox保留；可以正常发送确认；不因删除丢账</t>
        </is>
      </c>
      <c r="J82" s="2" t="inlineStr">
        <is>
          <t>构建/环境/数据版本、请求与traceId、前后数据库一致性快照；并发附屏障时间线，故障附注入与恢复日志</t>
        </is>
      </c>
      <c r="K82" s="2" t="inlineStr">
        <is>
          <t>自动化+人工核验</t>
        </is>
      </c>
      <c r="L82" s="2" t="inlineStr">
        <is>
          <t>R1/R2</t>
        </is>
      </c>
      <c r="M82" s="2" t="inlineStr">
        <is>
          <t>《设计文档_V2.0》第9、附录A；业务约束见《需求分析文档_V2.0》第5—7章</t>
        </is>
      </c>
      <c r="N82" s="2" t="inlineStr">
        <is>
          <t>列举的每个边界/枚举/时刻/浏览器组合均为必测variant；每variant留runId或参数化子结果，全部通过才可将整条标PASS</t>
        </is>
      </c>
    </row>
    <row r="83" ht="72" customHeight="1">
      <c r="A83" s="2" t="inlineStr">
        <is>
          <t>TC-CON-001</t>
        </is>
      </c>
      <c r="B83" s="2" t="inlineStr">
        <is>
          <t>CON</t>
        </is>
      </c>
      <c r="C83" s="2" t="inlineStr">
        <is>
          <t>最后一席并发竞争</t>
        </is>
      </c>
      <c r="D83" s="2" t="inlineStr">
        <is>
          <t>P0</t>
        </is>
      </c>
      <c r="E83" s="2" t="inlineStr">
        <is>
          <t>BR-02,BR-07,BR-14,FR-07,NFR-05,NFR-07,NFR-08</t>
        </is>
      </c>
      <c r="F83" s="2" t="inlineStr">
        <is>
          <t>AC-06,AC-08,AC-15</t>
        </is>
      </c>
      <c r="G83" s="2" t="inlineStr">
        <is>
          <t>D05,D06,D07,D10</t>
        </is>
      </c>
      <c r="H83" s="2" t="inlineStr">
        <is>
          <t>按主文档第5章构建独立数据快照；9人班，2/10/30个独立学生屏障提交，各20轮</t>
        </is>
      </c>
      <c r="I83" s="2" t="inlineStr">
        <is>
          <t>每轮恰1成功其余容量409；最终10；无其他课程失败污染结果</t>
        </is>
      </c>
      <c r="J83" s="2" t="inlineStr">
        <is>
          <t>构建/环境/数据版本、请求与traceId、前后数据库一致性快照；并发附屏障时间线，故障附注入与恢复日志</t>
        </is>
      </c>
      <c r="K83" s="2" t="inlineStr">
        <is>
          <t>自动化+人工核验</t>
        </is>
      </c>
      <c r="L83" s="2" t="inlineStr">
        <is>
          <t>R1/R2</t>
        </is>
      </c>
      <c r="M83" s="2" t="inlineStr">
        <is>
          <t>《设计文档_V2.0》第6—9；业务约束见《需求分析文档_V2.0》第5—7章</t>
        </is>
      </c>
      <c r="N83" s="2" t="inlineStr">
        <is>
          <t>列举的每个边界/枚举/时刻/浏览器组合均为必测variant；每variant留runId或参数化子结果，全部通过才可将整条标PASS</t>
        </is>
      </c>
    </row>
    <row r="84" ht="72" customHeight="1">
      <c r="A84" s="2" t="inlineStr">
        <is>
          <t>TC-CON-002</t>
        </is>
      </c>
      <c r="B84" s="2" t="inlineStr">
        <is>
          <t>CON</t>
        </is>
      </c>
      <c r="C84" s="2" t="inlineStr">
        <is>
          <t>两个客户端同课表</t>
        </is>
      </c>
      <c r="D84" s="2" t="inlineStr">
        <is>
          <t>P0</t>
        </is>
      </c>
      <c r="E84" s="2" t="inlineStr">
        <is>
          <t>FR-08,NFR-05,NFR-07,NFR-08</t>
        </is>
      </c>
      <c r="F84" s="2" t="inlineStr">
        <is>
          <t>AC-06,AC-08,AC-15</t>
        </is>
      </c>
      <c r="G84" s="2" t="inlineStr">
        <is>
          <t>D05,D06,D07,D10</t>
        </is>
      </c>
      <c r="H84" s="2" t="inlineStr">
        <is>
          <t>按主文档第5章构建独立数据快照；同学生不同session同步改同schedule</t>
        </is>
      </c>
      <c r="I84" s="2" t="inlineStr">
        <is>
          <t>版本只允许一个新修改；重复幂等同payload可重放；无重复ACTIVE</t>
        </is>
      </c>
      <c r="J84" s="2" t="inlineStr">
        <is>
          <t>构建/环境/数据版本、请求与traceId、前后数据库一致性快照；并发附屏障时间线，故障附注入与恢复日志</t>
        </is>
      </c>
      <c r="K84" s="2" t="inlineStr">
        <is>
          <t>自动化+人工核验</t>
        </is>
      </c>
      <c r="L84" s="2" t="inlineStr">
        <is>
          <t>R1/R2</t>
        </is>
      </c>
      <c r="M84" s="2" t="inlineStr">
        <is>
          <t>《设计文档_V2.0》第6—9；业务约束见《需求分析文档_V2.0》第5—7章</t>
        </is>
      </c>
      <c r="N84" s="2" t="inlineStr">
        <is>
          <t>列举的每个边界/枚举/时刻/浏览器组合均为必测variant；每variant留runId或参数化子结果，全部通过才可将整条标PASS</t>
        </is>
      </c>
    </row>
    <row r="85" ht="72" customHeight="1">
      <c r="A85" s="2" t="inlineStr">
        <is>
          <t>TC-CON-003</t>
        </is>
      </c>
      <c r="B85" s="2" t="inlineStr">
        <is>
          <t>CON</t>
        </is>
      </c>
      <c r="C85" s="2" t="inlineStr">
        <is>
          <t>退课与抢位交错</t>
        </is>
      </c>
      <c r="D85" s="2" t="inlineStr">
        <is>
          <t>P0</t>
        </is>
      </c>
      <c r="E85" s="2" t="inlineStr">
        <is>
          <t>BR-14,FR-08,NFR-05,NFR-07,NFR-08</t>
        </is>
      </c>
      <c r="F85" s="2" t="inlineStr">
        <is>
          <t>AC-06,AC-08,AC-15</t>
        </is>
      </c>
      <c r="G85" s="2" t="inlineStr">
        <is>
          <t>D05,D06,D07,D10</t>
        </is>
      </c>
      <c r="H85" s="2" t="inlineStr">
        <is>
          <t>按主文档第5章构建独立数据快照；持有名额学生退课同时另一学生提交</t>
        </is>
      </c>
      <c r="I85" s="2" t="inlineStr">
        <is>
          <t>结果符合实际锁顺序；人数始终0-10且等于ACTIVE</t>
        </is>
      </c>
      <c r="J85" s="2" t="inlineStr">
        <is>
          <t>构建/环境/数据版本、请求与traceId、前后数据库一致性快照；并发附屏障时间线，故障附注入与恢复日志</t>
        </is>
      </c>
      <c r="K85" s="2" t="inlineStr">
        <is>
          <t>自动化+人工核验</t>
        </is>
      </c>
      <c r="L85" s="2" t="inlineStr">
        <is>
          <t>R1/R2</t>
        </is>
      </c>
      <c r="M85" s="2" t="inlineStr">
        <is>
          <t>《设计文档_V2.0》第6—9；业务约束见《需求分析文档_V2.0》第5—7章</t>
        </is>
      </c>
      <c r="N85" s="2" t="inlineStr">
        <is>
          <t>列举的每个边界/枚举/时刻/浏览器组合均为必测variant；每variant留runId或参数化子结果，全部通过才可将整条标PASS</t>
        </is>
      </c>
    </row>
    <row r="86" ht="72" customHeight="1">
      <c r="A86" s="2" t="inlineStr">
        <is>
          <t>TC-CON-004</t>
        </is>
      </c>
      <c r="B86" s="2" t="inlineStr">
        <is>
          <t>CON</t>
        </is>
      </c>
      <c r="C86" s="2" t="inlineStr">
        <is>
          <t>教师同一班竞争</t>
        </is>
      </c>
      <c r="D86" s="2" t="inlineStr">
        <is>
          <t>P0</t>
        </is>
      </c>
      <c r="E86" s="2" t="inlineStr">
        <is>
          <t>FR-12,NFR-05,NFR-07,NFR-08</t>
        </is>
      </c>
      <c r="F86" s="2" t="inlineStr">
        <is>
          <t>AC-06,AC-08,AC-15</t>
        </is>
      </c>
      <c r="G86" s="2" t="inlineStr">
        <is>
          <t>D05,D06,D07,D10</t>
        </is>
      </c>
      <c r="H86" s="2" t="inlineStr">
        <is>
          <t>按主文档第5章构建独立数据快照；两名合资格教师同步选择无人任教同班</t>
        </is>
      </c>
      <c r="I86" s="2" t="inlineStr">
        <is>
          <t>最多1位教师；另一明确冲突</t>
        </is>
      </c>
      <c r="J86" s="2" t="inlineStr">
        <is>
          <t>构建/环境/数据版本、请求与traceId、前后数据库一致性快照；并发附屏障时间线，故障附注入与恢复日志</t>
        </is>
      </c>
      <c r="K86" s="2" t="inlineStr">
        <is>
          <t>自动化+人工核验</t>
        </is>
      </c>
      <c r="L86" s="2" t="inlineStr">
        <is>
          <t>R1/R2</t>
        </is>
      </c>
      <c r="M86" s="2" t="inlineStr">
        <is>
          <t>《设计文档_V2.0》第6—9；业务约束见《需求分析文档_V2.0》第5—7章</t>
        </is>
      </c>
      <c r="N86" s="2" t="inlineStr">
        <is>
          <t>列举的每个边界/枚举/时刻/浏览器组合均为必测variant；每variant留runId或参数化子结果，全部通过才可将整条标PASS</t>
        </is>
      </c>
    </row>
    <row r="87" ht="72" customHeight="1">
      <c r="A87" s="2" t="inlineStr">
        <is>
          <t>TC-CON-005</t>
        </is>
      </c>
      <c r="B87" s="2" t="inlineStr">
        <is>
          <t>CON</t>
        </is>
      </c>
      <c r="C87" s="2" t="inlineStr">
        <is>
          <t>同教师两个冲突班</t>
        </is>
      </c>
      <c r="D87" s="2" t="inlineStr">
        <is>
          <t>P0</t>
        </is>
      </c>
      <c r="E87" s="2" t="inlineStr">
        <is>
          <t>BR-04,FR-12,NFR-05,NFR-07,NFR-08</t>
        </is>
      </c>
      <c r="F87" s="2" t="inlineStr">
        <is>
          <t>AC-06,AC-08,AC-15</t>
        </is>
      </c>
      <c r="G87" s="2" t="inlineStr">
        <is>
          <t>D05,D06,D07,D10</t>
        </is>
      </c>
      <c r="H87" s="2" t="inlineStr">
        <is>
          <t>按主文档第5章构建独立数据快照；同教师同步选时间冲突不同班</t>
        </is>
      </c>
      <c r="I87" s="2" t="inlineStr">
        <is>
          <t>teaching_guard串行校验；不能两个都成功</t>
        </is>
      </c>
      <c r="J87" s="2" t="inlineStr">
        <is>
          <t>构建/环境/数据版本、请求与traceId、前后数据库一致性快照；并发附屏障时间线，故障附注入与恢复日志</t>
        </is>
      </c>
      <c r="K87" s="2" t="inlineStr">
        <is>
          <t>自动化+人工核验</t>
        </is>
      </c>
      <c r="L87" s="2" t="inlineStr">
        <is>
          <t>R1/R2</t>
        </is>
      </c>
      <c r="M87" s="2" t="inlineStr">
        <is>
          <t>《设计文档_V2.0》第6—9；业务约束见《需求分析文档_V2.0》第5—7章</t>
        </is>
      </c>
      <c r="N87" s="2" t="inlineStr">
        <is>
          <t>列举的每个边界/枚举/时刻/浏览器组合均为必测variant；每variant留runId或参数化子结果，全部通过才可将整条标PASS</t>
        </is>
      </c>
    </row>
    <row r="88" ht="72" customHeight="1">
      <c r="A88" s="2" t="inlineStr">
        <is>
          <t>TC-CON-006</t>
        </is>
      </c>
      <c r="B88" s="2" t="inlineStr">
        <is>
          <t>CON</t>
        </is>
      </c>
      <c r="C88" s="2" t="inlineStr">
        <is>
          <t>普通写锁先于关闭</t>
        </is>
      </c>
      <c r="D88" s="2" t="inlineStr">
        <is>
          <t>P0</t>
        </is>
      </c>
      <c r="E88" s="2" t="inlineStr">
        <is>
          <t>FR-20,NFR-05,NFR-07,NFR-08</t>
        </is>
      </c>
      <c r="F88" s="2" t="inlineStr">
        <is>
          <t>AC-06,AC-08,AC-15</t>
        </is>
      </c>
      <c r="G88" s="2" t="inlineStr">
        <is>
          <t>D05,D06,D07,D10</t>
        </is>
      </c>
      <c r="H88" s="2" t="inlineStr">
        <is>
          <t>按主文档第5章构建独立数据快照；暂停持学期共享锁的提交，发close并观察worker</t>
        </is>
      </c>
      <c r="I88" s="2" t="inlineStr">
        <is>
          <t>close受理202；worker BLOCKED_BUSY；放行后同任务可完成</t>
        </is>
      </c>
      <c r="J88" s="2" t="inlineStr">
        <is>
          <t>构建/环境/数据版本、请求与traceId、前后数据库一致性快照；并发附屏障时间线，故障附注入与恢复日志</t>
        </is>
      </c>
      <c r="K88" s="2" t="inlineStr">
        <is>
          <t>自动化+人工核验</t>
        </is>
      </c>
      <c r="L88" s="2" t="inlineStr">
        <is>
          <t>R1/R2</t>
        </is>
      </c>
      <c r="M88" s="2" t="inlineStr">
        <is>
          <t>《设计文档_V2.0》第6—9；业务约束见《需求分析文档_V2.0》第5—7章</t>
        </is>
      </c>
      <c r="N88" s="2" t="inlineStr">
        <is>
          <t>列举的每个边界/枚举/时刻/浏览器组合均为必测variant；每variant留runId或参数化子结果，全部通过才可将整条标PASS</t>
        </is>
      </c>
    </row>
    <row r="89" ht="72" customHeight="1">
      <c r="A89" s="2" t="inlineStr">
        <is>
          <t>TC-CON-007</t>
        </is>
      </c>
      <c r="B89" s="2" t="inlineStr">
        <is>
          <t>CON</t>
        </is>
      </c>
      <c r="C89" s="2" t="inlineStr">
        <is>
          <t>关闭排他锁先于写</t>
        </is>
      </c>
      <c r="D89" s="2" t="inlineStr">
        <is>
          <t>P0</t>
        </is>
      </c>
      <c r="E89" s="2" t="inlineStr">
        <is>
          <t>BR-05,FR-20,NFR-05,NFR-07,NFR-08</t>
        </is>
      </c>
      <c r="F89" s="2" t="inlineStr">
        <is>
          <t>AC-06,AC-08,AC-15</t>
        </is>
      </c>
      <c r="G89" s="2" t="inlineStr">
        <is>
          <t>D05,D06,D07,D10</t>
        </is>
      </c>
      <c r="H89" s="2" t="inlineStr">
        <is>
          <t>按主文档第5章构建独立数据快照；暂停持学期排他锁的关闭，再发正式修改</t>
        </is>
      </c>
      <c r="I89" s="2" t="inlineStr">
        <is>
          <t>不能穿透关闭；锁释放后409 CLOSED；超时若发生需重试验证</t>
        </is>
      </c>
      <c r="J89" s="2" t="inlineStr">
        <is>
          <t>构建/环境/数据版本、请求与traceId、前后数据库一致性快照；并发附屏障时间线，故障附注入与恢复日志</t>
        </is>
      </c>
      <c r="K89" s="2" t="inlineStr">
        <is>
          <t>自动化+人工核验</t>
        </is>
      </c>
      <c r="L89" s="2" t="inlineStr">
        <is>
          <t>R1/R2</t>
        </is>
      </c>
      <c r="M89" s="2" t="inlineStr">
        <is>
          <t>《设计文档_V2.0》第6—9；业务约束见《需求分析文档_V2.0》第5—7章</t>
        </is>
      </c>
      <c r="N89" s="2" t="inlineStr">
        <is>
          <t>列举的每个边界/枚举/时刻/浏览器组合均为必测variant；每variant留runId或参数化子结果，全部通过才可将整条标PASS</t>
        </is>
      </c>
    </row>
    <row r="90" ht="72" customHeight="1">
      <c r="A90" s="2" t="inlineStr">
        <is>
          <t>TC-CON-008</t>
        </is>
      </c>
      <c r="B90" s="2" t="inlineStr">
        <is>
          <t>CON</t>
        </is>
      </c>
      <c r="C90" s="2" t="inlineStr">
        <is>
          <t>人员停用与业务写</t>
        </is>
      </c>
      <c r="D90" s="2" t="inlineStr">
        <is>
          <t>P0</t>
        </is>
      </c>
      <c r="E90" s="2" t="inlineStr">
        <is>
          <t>NFR-05,NFR-07,NFR-08</t>
        </is>
      </c>
      <c r="F90" s="2" t="inlineStr">
        <is>
          <t>AC-06,AC-08,AC-15</t>
        </is>
      </c>
      <c r="G90" s="2" t="inlineStr">
        <is>
          <t>D05,D06,D07,D10</t>
        </is>
      </c>
      <c r="H90" s="2" t="inlineStr">
        <is>
          <t>按主文档第5章构建独立数据快照；人员状态变更/删除与本人选课或授课同步</t>
        </is>
      </c>
      <c r="I90" s="2" t="inlineStr">
        <is>
          <t>共享人员锁校验有效身份；不能留下禁用人员当前有效关系</t>
        </is>
      </c>
      <c r="J90" s="2" t="inlineStr">
        <is>
          <t>构建/环境/数据版本、请求与traceId、前后数据库一致性快照；并发附屏障时间线，故障附注入与恢复日志</t>
        </is>
      </c>
      <c r="K90" s="2" t="inlineStr">
        <is>
          <t>自动化+人工核验</t>
        </is>
      </c>
      <c r="L90" s="2" t="inlineStr">
        <is>
          <t>R1/R2</t>
        </is>
      </c>
      <c r="M90" s="2" t="inlineStr">
        <is>
          <t>《设计文档_V2.0》第6—9；业务约束见《需求分析文档_V2.0》第5—7章</t>
        </is>
      </c>
      <c r="N90" s="2" t="inlineStr">
        <is>
          <t>列举的每个边界/枚举/时刻/浏览器组合均为必测variant；每variant留runId或参数化子结果，全部通过才可将整条标PASS</t>
        </is>
      </c>
    </row>
    <row r="91" ht="72" customHeight="1">
      <c r="A91" s="2" t="inlineStr">
        <is>
          <t>TC-CON-009</t>
        </is>
      </c>
      <c r="B91" s="2" t="inlineStr">
        <is>
          <t>CON</t>
        </is>
      </c>
      <c r="C91" s="2" t="inlineStr">
        <is>
          <t>重复关闭worker与领取token</t>
        </is>
      </c>
      <c r="D91" s="2" t="inlineStr">
        <is>
          <t>P0</t>
        </is>
      </c>
      <c r="E91" s="2" t="inlineStr">
        <is>
          <t>BR-16,FR-20,NFR-05,NFR-07,NFR-08</t>
        </is>
      </c>
      <c r="F91" s="2" t="inlineStr">
        <is>
          <t>AC-06,AC-08,AC-15</t>
        </is>
      </c>
      <c r="G91" s="2" t="inlineStr">
        <is>
          <t>D05,D06,D07,D10</t>
        </is>
      </c>
      <c r="H91" s="2" t="inlineStr">
        <is>
          <t>按主文档第5章构建独立数据快照；两个关闭worker处理同job并模拟旧owner恢复</t>
        </is>
      </c>
      <c r="I91" s="2" t="inlineStr">
        <is>
          <t>仅当前token执行并持job锁至提交；无重复结算</t>
        </is>
      </c>
      <c r="J91" s="2" t="inlineStr">
        <is>
          <t>构建/环境/数据版本、请求与traceId、前后数据库一致性快照；并发附屏障时间线，故障附注入与恢复日志</t>
        </is>
      </c>
      <c r="K91" s="2" t="inlineStr">
        <is>
          <t>自动化+人工核验</t>
        </is>
      </c>
      <c r="L91" s="2" t="inlineStr">
        <is>
          <t>R1/R2</t>
        </is>
      </c>
      <c r="M91" s="2" t="inlineStr">
        <is>
          <t>《设计文档_V2.0》第6—9；业务约束见《需求分析文档_V2.0》第5—7章</t>
        </is>
      </c>
      <c r="N91" s="2" t="inlineStr">
        <is>
          <t>列举的每个边界/枚举/时刻/浏览器组合均为必测variant；每variant留runId或参数化子结果，全部通过才可将整条标PASS</t>
        </is>
      </c>
    </row>
    <row r="92" ht="72" customHeight="1">
      <c r="A92" s="2" t="inlineStr">
        <is>
          <t>TC-CON-010</t>
        </is>
      </c>
      <c r="B92" s="2" t="inlineStr">
        <is>
          <t>CON</t>
        </is>
      </c>
      <c r="C92" s="2" t="inlineStr">
        <is>
          <t>多班逆序请求及锁超时</t>
        </is>
      </c>
      <c r="D92" s="2" t="inlineStr">
        <is>
          <t>P0</t>
        </is>
      </c>
      <c r="E92" s="2" t="inlineStr">
        <is>
          <t>NFR-05,NFR-07,NFR-08</t>
        </is>
      </c>
      <c r="F92" s="2" t="inlineStr">
        <is>
          <t>AC-06,AC-08,AC-15</t>
        </is>
      </c>
      <c r="G92" s="2" t="inlineStr">
        <is>
          <t>D05,D06,D07,D10</t>
        </is>
      </c>
      <c r="H92" s="2" t="inlineStr">
        <is>
          <t>按主文档第5章构建独立数据快照；构造相反班列表并发提交，注入锁超时</t>
        </is>
      </c>
      <c r="I92" s="2" t="inlineStr">
        <is>
          <t>按offering_id排序锁；超时全量回滚；可重试无残留</t>
        </is>
      </c>
      <c r="J92" s="2" t="inlineStr">
        <is>
          <t>构建/环境/数据版本、请求与traceId、前后数据库一致性快照；并发附屏障时间线，故障附注入与恢复日志</t>
        </is>
      </c>
      <c r="K92" s="2" t="inlineStr">
        <is>
          <t>自动化+人工核验</t>
        </is>
      </c>
      <c r="L92" s="2" t="inlineStr">
        <is>
          <t>R1/R2</t>
        </is>
      </c>
      <c r="M92" s="2" t="inlineStr">
        <is>
          <t>《设计文档_V2.0》第6—9；业务约束见《需求分析文档_V2.0》第5—7章</t>
        </is>
      </c>
      <c r="N92" s="2" t="inlineStr">
        <is>
          <t>列举的每个边界/枚举/时刻/浏览器组合均为必测variant；每variant留runId或参数化子结果，全部通过才可将整条标PASS</t>
        </is>
      </c>
    </row>
    <row r="93" ht="72" customHeight="1">
      <c r="A93" s="2" t="inlineStr">
        <is>
          <t>TC-SEC-001</t>
        </is>
      </c>
      <c r="B93" s="2" t="inlineStr">
        <is>
          <t>SEC</t>
        </is>
      </c>
      <c r="C93" s="2" t="inlineStr">
        <is>
          <t>对象越权与角色越权</t>
        </is>
      </c>
      <c r="D93" s="2" t="inlineStr">
        <is>
          <t>P0</t>
        </is>
      </c>
      <c r="E93" s="2" t="inlineStr">
        <is>
          <t>FR-02,NFR-09,NFR-10,SEC-01,SEC-02</t>
        </is>
      </c>
      <c r="F93" s="2" t="inlineStr">
        <is>
          <t>AC-02</t>
        </is>
      </c>
      <c r="G93" s="2" t="inlineStr">
        <is>
          <t>D01,D10,D14</t>
        </is>
      </c>
      <c r="H93" s="2" t="inlineStr">
        <is>
          <t>按主文档第5章构建独立数据快照；学生换schedule/student ID；教师换offering；管理员尝试录分</t>
        </is>
      </c>
      <c r="I93" s="2" t="inlineStr">
        <is>
          <t>已存在未授权对象403；授权范围不存在404；受害数据不变且不暴露详情</t>
        </is>
      </c>
      <c r="J93" s="2" t="inlineStr">
        <is>
          <t>构建/环境/数据版本、请求与traceId、前后数据库一致性快照；并发附屏障时间线，故障附注入与恢复日志</t>
        </is>
      </c>
      <c r="K93" s="2" t="inlineStr">
        <is>
          <t>自动化+人工核验</t>
        </is>
      </c>
      <c r="L93" s="2" t="inlineStr">
        <is>
          <t>R3/R5</t>
        </is>
      </c>
      <c r="M93" s="2" t="inlineStr">
        <is>
          <t>《设计文档_V2.0》第10—11；业务约束见《需求分析文档_V2.0》第5—7章</t>
        </is>
      </c>
      <c r="N93" s="2" t="inlineStr">
        <is>
          <t>列举的每个边界/枚举/时刻/浏览器组合均为必测variant；每variant留runId或参数化子结果，全部通过才可将整条标PASS</t>
        </is>
      </c>
    </row>
    <row r="94" ht="72" customHeight="1">
      <c r="A94" s="2" t="inlineStr">
        <is>
          <t>TC-SEC-002</t>
        </is>
      </c>
      <c r="B94" s="2" t="inlineStr">
        <is>
          <t>SEC</t>
        </is>
      </c>
      <c r="C94" s="2" t="inlineStr">
        <is>
          <t>CSRF及跨站写</t>
        </is>
      </c>
      <c r="D94" s="2" t="inlineStr">
        <is>
          <t>P0</t>
        </is>
      </c>
      <c r="E94" s="2" t="inlineStr">
        <is>
          <t>NFR-09,NFR-10,SEC-02</t>
        </is>
      </c>
      <c r="F94" s="2" t="inlineStr">
        <is>
          <t>AC-02</t>
        </is>
      </c>
      <c r="G94" s="2" t="inlineStr">
        <is>
          <t>D01,D10,D14</t>
        </is>
      </c>
      <c r="H94" s="2" t="inlineStr">
        <is>
          <t>按主文档第5章构建独立数据快照；有Session无token/错误token发送写；合法token对照</t>
        </is>
      </c>
      <c r="I94" s="2" t="inlineStr">
        <is>
          <t>不合法拒绝；合法写成功；CORS不开放无关源凭据</t>
        </is>
      </c>
      <c r="J94" s="2" t="inlineStr">
        <is>
          <t>构建/环境/数据版本、请求与traceId、前后数据库一致性快照；并发附屏障时间线，故障附注入与恢复日志</t>
        </is>
      </c>
      <c r="K94" s="2" t="inlineStr">
        <is>
          <t>自动化+人工核验</t>
        </is>
      </c>
      <c r="L94" s="2" t="inlineStr">
        <is>
          <t>R3/R5</t>
        </is>
      </c>
      <c r="M94" s="2" t="inlineStr">
        <is>
          <t>《设计文档_V2.0》第10—11；业务约束见《需求分析文档_V2.0》第5—7章</t>
        </is>
      </c>
      <c r="N94" s="2" t="inlineStr">
        <is>
          <t>列举的每个边界/枚举/时刻/浏览器组合均为必测variant；每variant留runId或参数化子结果，全部通过才可将整条标PASS</t>
        </is>
      </c>
    </row>
    <row r="95" ht="72" customHeight="1">
      <c r="A95" s="2" t="inlineStr">
        <is>
          <t>TC-SEC-003</t>
        </is>
      </c>
      <c r="B95" s="2" t="inlineStr">
        <is>
          <t>SEC</t>
        </is>
      </c>
      <c r="C95" s="2" t="inlineStr">
        <is>
          <t>Cookie安全与会话固定</t>
        </is>
      </c>
      <c r="D95" s="2" t="inlineStr">
        <is>
          <t>P0</t>
        </is>
      </c>
      <c r="E95" s="2" t="inlineStr">
        <is>
          <t>NFR-09,NFR-10</t>
        </is>
      </c>
      <c r="F95" s="2" t="inlineStr">
        <is>
          <t>AC-02</t>
        </is>
      </c>
      <c r="G95" s="2" t="inlineStr">
        <is>
          <t>D01,D10,D14</t>
        </is>
      </c>
      <c r="H95" s="2" t="inlineStr">
        <is>
          <t>按主文档第5章构建独立数据快照；登录前后session对比；检查HTTPS部署Cookie</t>
        </is>
      </c>
      <c r="I95" s="2" t="inlineStr">
        <is>
          <t>会话更新；HttpOnly/Secure及SameSite配置符合部署</t>
        </is>
      </c>
      <c r="J95" s="2" t="inlineStr">
        <is>
          <t>构建/环境/数据版本、请求与traceId、前后数据库一致性快照；并发附屏障时间线，故障附注入与恢复日志</t>
        </is>
      </c>
      <c r="K95" s="2" t="inlineStr">
        <is>
          <t>自动化+人工核验</t>
        </is>
      </c>
      <c r="L95" s="2" t="inlineStr">
        <is>
          <t>R3/R5</t>
        </is>
      </c>
      <c r="M95" s="2" t="inlineStr">
        <is>
          <t>《设计文档_V2.0》第10—11；业务约束见《需求分析文档_V2.0》第5—7章</t>
        </is>
      </c>
      <c r="N95" s="2" t="inlineStr">
        <is>
          <t>列举的每个边界/枚举/时刻/浏览器组合均为必测variant；每variant留runId或参数化子结果，全部通过才可将整条标PASS</t>
        </is>
      </c>
    </row>
    <row r="96" ht="72" customHeight="1">
      <c r="A96" s="2" t="inlineStr">
        <is>
          <t>TC-SEC-004</t>
        </is>
      </c>
      <c r="B96" s="2" t="inlineStr">
        <is>
          <t>SEC</t>
        </is>
      </c>
      <c r="C96" s="2" t="inlineStr">
        <is>
          <t>注入与脚本显示</t>
        </is>
      </c>
      <c r="D96" s="2" t="inlineStr">
        <is>
          <t>P0</t>
        </is>
      </c>
      <c r="E96" s="2" t="inlineStr">
        <is>
          <t>NFR-09,NFR-10</t>
        </is>
      </c>
      <c r="F96" s="2" t="inlineStr">
        <is>
          <t>AC-02</t>
        </is>
      </c>
      <c r="G96" s="2" t="inlineStr">
        <is>
          <t>D01,D10,D14</t>
        </is>
      </c>
      <c r="H96" s="2" t="inlineStr">
        <is>
          <t>按主文档第5章构建独立数据快照；受控测试库提交SQL及脚本载荷到输入/搜索</t>
        </is>
      </c>
      <c r="I96" s="2" t="inlineStr">
        <is>
          <t>参数化查询；文本转义；无脚本执行或DB结构泄露</t>
        </is>
      </c>
      <c r="J96" s="2" t="inlineStr">
        <is>
          <t>构建/环境/数据版本、请求与traceId、前后数据库一致性快照；并发附屏障时间线，故障附注入与恢复日志</t>
        </is>
      </c>
      <c r="K96" s="2" t="inlineStr">
        <is>
          <t>自动化+人工核验</t>
        </is>
      </c>
      <c r="L96" s="2" t="inlineStr">
        <is>
          <t>R3/R5</t>
        </is>
      </c>
      <c r="M96" s="2" t="inlineStr">
        <is>
          <t>《设计文档_V2.0》第10—11；业务约束见《需求分析文档_V2.0》第5—7章</t>
        </is>
      </c>
      <c r="N96" s="2" t="inlineStr">
        <is>
          <t>列举的每个边界/枚举/时刻/浏览器组合均为必测variant；每variant留runId或参数化子结果，全部通过才可将整条标PASS</t>
        </is>
      </c>
    </row>
    <row r="97" ht="72" customHeight="1">
      <c r="A97" s="2" t="inlineStr">
        <is>
          <t>TC-SEC-005</t>
        </is>
      </c>
      <c r="B97" s="2" t="inlineStr">
        <is>
          <t>SEC</t>
        </is>
      </c>
      <c r="C97" s="2" t="inlineStr">
        <is>
          <t>敏感信息泄露</t>
        </is>
      </c>
      <c r="D97" s="2" t="inlineStr">
        <is>
          <t>P0</t>
        </is>
      </c>
      <c r="E97" s="2" t="inlineStr">
        <is>
          <t>NFR-09,NFR-10</t>
        </is>
      </c>
      <c r="F97" s="2" t="inlineStr">
        <is>
          <t>AC-02</t>
        </is>
      </c>
      <c r="G97" s="2" t="inlineStr">
        <is>
          <t>D01,D10,D14</t>
        </is>
      </c>
      <c r="H97" s="2" t="inlineStr">
        <is>
          <t>按主文档第5章构建独立数据快照；检查API错误、日志、审计、幂等存储及导出文件</t>
        </is>
      </c>
      <c r="I97" s="2" t="inlineStr">
        <is>
          <t>无明文密码/Session/CSRF秘密；返回traceId可关联日志</t>
        </is>
      </c>
      <c r="J97" s="2" t="inlineStr">
        <is>
          <t>构建/环境/数据版本、请求与traceId、前后数据库一致性快照；并发附屏障时间线，故障附注入与恢复日志</t>
        </is>
      </c>
      <c r="K97" s="2" t="inlineStr">
        <is>
          <t>自动化+人工核验</t>
        </is>
      </c>
      <c r="L97" s="2" t="inlineStr">
        <is>
          <t>R3/R5</t>
        </is>
      </c>
      <c r="M97" s="2" t="inlineStr">
        <is>
          <t>《设计文档_V2.0》第10—11；业务约束见《需求分析文档_V2.0》第5—7章</t>
        </is>
      </c>
      <c r="N97" s="2" t="inlineStr">
        <is>
          <t>列举的每个边界/枚举/时刻/浏览器组合均为必测variant；每variant留runId或参数化子结果，全部通过才可将整条标PASS</t>
        </is>
      </c>
    </row>
    <row r="98" ht="72" customHeight="1">
      <c r="A98" s="2" t="inlineStr">
        <is>
          <t>TC-SEC-006</t>
        </is>
      </c>
      <c r="B98" s="2" t="inlineStr">
        <is>
          <t>SEC</t>
        </is>
      </c>
      <c r="C98" s="2" t="inlineStr">
        <is>
          <t>输入大小与非法ID</t>
        </is>
      </c>
      <c r="D98" s="2" t="inlineStr">
        <is>
          <t>P0</t>
        </is>
      </c>
      <c r="E98" s="2" t="inlineStr">
        <is>
          <t>NFR-09,NFR-10,SEC-02</t>
        </is>
      </c>
      <c r="F98" s="2" t="inlineStr">
        <is>
          <t>AC-02</t>
        </is>
      </c>
      <c r="G98" s="2" t="inlineStr">
        <is>
          <t>D01,D10,D14</t>
        </is>
      </c>
      <c r="H98" s="2" t="inlineStr">
        <is>
          <t>按主文档第5章构建独立数据快照；超长payload、非数字/越界字符串ID、未知enum</t>
        </is>
      </c>
      <c r="I98" s="2" t="inlineStr">
        <is>
          <t>4xx明确拒绝；无500堆栈或部分写入；ID不被JS截断</t>
        </is>
      </c>
      <c r="J98" s="2" t="inlineStr">
        <is>
          <t>构建/环境/数据版本、请求与traceId、前后数据库一致性快照；并发附屏障时间线，故障附注入与恢复日志</t>
        </is>
      </c>
      <c r="K98" s="2" t="inlineStr">
        <is>
          <t>自动化+人工核验</t>
        </is>
      </c>
      <c r="L98" s="2" t="inlineStr">
        <is>
          <t>R3/R5</t>
        </is>
      </c>
      <c r="M98" s="2" t="inlineStr">
        <is>
          <t>《设计文档_V2.0》第10—11；业务约束见《需求分析文档_V2.0》第5—7章</t>
        </is>
      </c>
      <c r="N98" s="2" t="inlineStr">
        <is>
          <t>列举的每个边界/枚举/时刻/浏览器组合均为必测variant；每variant留runId或参数化子结果，全部通过才可将整条标PASS</t>
        </is>
      </c>
    </row>
    <row r="99" ht="72" customHeight="1">
      <c r="A99" s="2" t="inlineStr">
        <is>
          <t>TC-SEC-007</t>
        </is>
      </c>
      <c r="B99" s="2" t="inlineStr">
        <is>
          <t>SEC</t>
        </is>
      </c>
      <c r="C99" s="2" t="inlineStr">
        <is>
          <t>审计权限及完整性</t>
        </is>
      </c>
      <c r="D99" s="2" t="inlineStr">
        <is>
          <t>P0</t>
        </is>
      </c>
      <c r="E99" s="2" t="inlineStr">
        <is>
          <t>NFR-09,NFR-10</t>
        </is>
      </c>
      <c r="F99" s="2" t="inlineStr">
        <is>
          <t>AC-02</t>
        </is>
      </c>
      <c r="G99" s="2" t="inlineStr">
        <is>
          <t>D01,D10,D14</t>
        </is>
      </c>
      <c r="H99" s="2" t="inlineStr">
        <is>
          <t>按主文档第5章构建独立数据快照；完成改人改成绩关闭失败计费；不同角色读审计</t>
        </is>
      </c>
      <c r="I99" s="2" t="inlineStr">
        <is>
          <t>必要事件关联操作者/时间/traceId；仅授权访问；脱敏</t>
        </is>
      </c>
      <c r="J99" s="2" t="inlineStr">
        <is>
          <t>构建/环境/数据版本、请求与traceId、前后数据库一致性快照；并发附屏障时间线，故障附注入与恢复日志</t>
        </is>
      </c>
      <c r="K99" s="2" t="inlineStr">
        <is>
          <t>自动化+人工核验</t>
        </is>
      </c>
      <c r="L99" s="2" t="inlineStr">
        <is>
          <t>R3/R5</t>
        </is>
      </c>
      <c r="M99" s="2" t="inlineStr">
        <is>
          <t>《设计文档_V2.0》第10—11；业务约束见《需求分析文档_V2.0》第5—7章</t>
        </is>
      </c>
      <c r="N99" s="2" t="inlineStr">
        <is>
          <t>列举的每个边界/枚举/时刻/浏览器组合均为必测variant；每variant留runId或参数化子结果，全部通过才可将整条标PASS</t>
        </is>
      </c>
    </row>
    <row r="100" ht="72" customHeight="1">
      <c r="A100" s="2" t="inlineStr">
        <is>
          <t>TC-SEC-008</t>
        </is>
      </c>
      <c r="B100" s="2" t="inlineStr">
        <is>
          <t>SEC</t>
        </is>
      </c>
      <c r="C100" s="2" t="inlineStr">
        <is>
          <t>未认证与失效认证</t>
        </is>
      </c>
      <c r="D100" s="2" t="inlineStr">
        <is>
          <t>P0</t>
        </is>
      </c>
      <c r="E100" s="2" t="inlineStr">
        <is>
          <t>FR-03,NFR-09,NFR-10,SEC-03</t>
        </is>
      </c>
      <c r="F100" s="2" t="inlineStr">
        <is>
          <t>AC-02</t>
        </is>
      </c>
      <c r="G100" s="2" t="inlineStr">
        <is>
          <t>D01,D10,D14</t>
        </is>
      </c>
      <c r="H100" s="2" t="inlineStr">
        <is>
          <t>按主文档第5章构建独立数据快照；无Cookie、过期、登出和重置后Cookie访问各接口</t>
        </is>
      </c>
      <c r="I100" s="2" t="inlineStr">
        <is>
          <t>受保护接口401；不执行写入</t>
        </is>
      </c>
      <c r="J100" s="2" t="inlineStr">
        <is>
          <t>构建/环境/数据版本、请求与traceId、前后数据库一致性快照；并发附屏障时间线，故障附注入与恢复日志</t>
        </is>
      </c>
      <c r="K100" s="2" t="inlineStr">
        <is>
          <t>自动化+人工核验</t>
        </is>
      </c>
      <c r="L100" s="2" t="inlineStr">
        <is>
          <t>R3/R5</t>
        </is>
      </c>
      <c r="M100" s="2" t="inlineStr">
        <is>
          <t>《设计文档_V2.0》第10—11；业务约束见《需求分析文档_V2.0》第5—7章</t>
        </is>
      </c>
      <c r="N100" s="2" t="inlineStr">
        <is>
          <t>列举的每个边界/枚举/时刻/浏览器组合均为必测variant；每variant留runId或参数化子结果，全部通过才可将整条标PASS</t>
        </is>
      </c>
    </row>
    <row r="101" ht="72" customHeight="1">
      <c r="A101" s="2" t="inlineStr">
        <is>
          <t>TC-UI-001</t>
        </is>
      </c>
      <c r="B101" s="2" t="inlineStr">
        <is>
          <t>UI</t>
        </is>
      </c>
      <c r="C101" s="2" t="inlineStr">
        <is>
          <t>三角色主路径界面</t>
        </is>
      </c>
      <c r="D101" s="2" t="inlineStr">
        <is>
          <t>P1</t>
        </is>
      </c>
      <c r="E101" s="2" t="inlineStr">
        <is>
          <t>FR-02,NFR-12</t>
        </is>
      </c>
      <c r="F101" s="2" t="inlineStr">
        <is>
          <t>AC-01,AC-02</t>
        </is>
      </c>
      <c r="G101" s="2" t="inlineStr">
        <is>
          <t>D01,D06,D08</t>
        </is>
      </c>
      <c r="H101" s="2" t="inlineStr">
        <is>
          <t>按主文档第5章构建独立数据快照；分别完成登录、选课、授课录分、人员与关闭主路径</t>
        </is>
      </c>
      <c r="I101" s="2" t="inlineStr">
        <is>
          <t>菜单清楚；表单提示和后端结果一致</t>
        </is>
      </c>
      <c r="J101" s="2" t="inlineStr">
        <is>
          <t>构建/环境/数据版本、请求与traceId、前后数据库一致性快照；并发附屏障时间线，故障附注入与恢复日志</t>
        </is>
      </c>
      <c r="K101" s="2" t="inlineStr">
        <is>
          <t>浏览器人工/自动化</t>
        </is>
      </c>
      <c r="L101" s="2" t="inlineStr">
        <is>
          <t>R3/R5</t>
        </is>
      </c>
      <c r="M101" s="2" t="inlineStr">
        <is>
          <t>《设计文档_V2.0》第4、10、12；业务约束见《需求分析文档_V2.0》第5—7章</t>
        </is>
      </c>
      <c r="N101" s="2" t="inlineStr">
        <is>
          <t>列举的每个边界/枚举/时刻/浏览器组合均为必测variant；每variant留runId或参数化子结果，全部通过才可将整条标PASS</t>
        </is>
      </c>
    </row>
    <row r="102" ht="72" customHeight="1">
      <c r="A102" s="2" t="inlineStr">
        <is>
          <t>TC-UI-002</t>
        </is>
      </c>
      <c r="B102" s="2" t="inlineStr">
        <is>
          <t>UI</t>
        </is>
      </c>
      <c r="C102" s="2" t="inlineStr">
        <is>
          <t>草稿正式课表区分</t>
        </is>
      </c>
      <c r="D102" s="2" t="inlineStr">
        <is>
          <t>P1</t>
        </is>
      </c>
      <c r="E102" s="2" t="inlineStr">
        <is>
          <t>BR-06,FR-06,FR-10,NFR-12</t>
        </is>
      </c>
      <c r="F102" s="2" t="inlineStr">
        <is>
          <t>AC-04,AC-07</t>
        </is>
      </c>
      <c r="G102" s="2" t="inlineStr">
        <is>
          <t>D01,D06,D08</t>
        </is>
      </c>
      <c r="H102" s="2" t="inlineStr">
        <is>
          <t>按主文档第5章构建独立数据快照；编辑未提交草稿后重进及查看已注册名单</t>
        </is>
      </c>
      <c r="I102" s="2" t="inlineStr">
        <is>
          <t>草稿与正式状态分开展示；不误报已注册</t>
        </is>
      </c>
      <c r="J102" s="2" t="inlineStr">
        <is>
          <t>构建/环境/数据版本、请求与traceId、前后数据库一致性快照；并发附屏障时间线，故障附注入与恢复日志</t>
        </is>
      </c>
      <c r="K102" s="2" t="inlineStr">
        <is>
          <t>浏览器人工/自动化</t>
        </is>
      </c>
      <c r="L102" s="2" t="inlineStr">
        <is>
          <t>R3/R5</t>
        </is>
      </c>
      <c r="M102" s="2" t="inlineStr">
        <is>
          <t>《设计文档_V2.0》第4、10、12；业务约束见《需求分析文档_V2.0》第5—7章</t>
        </is>
      </c>
      <c r="N102" s="2" t="inlineStr">
        <is>
          <t>列举的每个边界/枚举/时刻/浏览器组合均为必测variant；每variant留runId或参数化子结果，全部通过才可将整条标PASS</t>
        </is>
      </c>
    </row>
    <row r="103" ht="72" customHeight="1">
      <c r="A103" s="2" t="inlineStr">
        <is>
          <t>TC-UI-003</t>
        </is>
      </c>
      <c r="B103" s="2" t="inlineStr">
        <is>
          <t>UI</t>
        </is>
      </c>
      <c r="C103" s="2" t="inlineStr">
        <is>
          <t>满员冲突及关闭提示</t>
        </is>
      </c>
      <c r="D103" s="2" t="inlineStr">
        <is>
          <t>P1</t>
        </is>
      </c>
      <c r="E103" s="2" t="inlineStr">
        <is>
          <t>FR-25,NFR-12</t>
        </is>
      </c>
      <c r="F103" s="2" t="inlineStr">
        <is>
          <t>AC-06</t>
        </is>
      </c>
      <c r="G103" s="2" t="inlineStr">
        <is>
          <t>D01,D06,D08</t>
        </is>
      </c>
      <c r="H103" s="2" t="inlineStr">
        <is>
          <t>按主文档第5章构建独立数据快照；模拟满员、409版本、关闭、网络超时</t>
        </is>
      </c>
      <c r="I103" s="2" t="inlineStr">
        <is>
          <t>明确可操作提示；不擅自宣称写成功；允许重读和重试</t>
        </is>
      </c>
      <c r="J103" s="2" t="inlineStr">
        <is>
          <t>构建/环境/数据版本、请求与traceId、前后数据库一致性快照；并发附屏障时间线，故障附注入与恢复日志</t>
        </is>
      </c>
      <c r="K103" s="2" t="inlineStr">
        <is>
          <t>浏览器人工/自动化</t>
        </is>
      </c>
      <c r="L103" s="2" t="inlineStr">
        <is>
          <t>R3/R5</t>
        </is>
      </c>
      <c r="M103" s="2" t="inlineStr">
        <is>
          <t>《设计文档_V2.0》第4、10、12；业务约束见《需求分析文档_V2.0》第5—7章</t>
        </is>
      </c>
      <c r="N103" s="2" t="inlineStr">
        <is>
          <t>列举的每个边界/枚举/时刻/浏览器组合均为必测variant；每variant留runId或参数化子结果，全部通过才可将整条标PASS</t>
        </is>
      </c>
    </row>
    <row r="104" ht="72" customHeight="1">
      <c r="A104" s="2" t="inlineStr">
        <is>
          <t>TC-UI-004</t>
        </is>
      </c>
      <c r="B104" s="2" t="inlineStr">
        <is>
          <t>UI</t>
        </is>
      </c>
      <c r="C104" s="2" t="inlineStr">
        <is>
          <t>确认取消及防重复</t>
        </is>
      </c>
      <c r="D104" s="2" t="inlineStr">
        <is>
          <t>P1</t>
        </is>
      </c>
      <c r="E104" s="2" t="inlineStr">
        <is>
          <t>FR-09,NFR-12</t>
        </is>
      </c>
      <c r="F104" s="2" t="inlineStr">
        <is>
          <t>AC-07</t>
        </is>
      </c>
      <c r="G104" s="2" t="inlineStr">
        <is>
          <t>D01,D06,D08</t>
        </is>
      </c>
      <c r="H104" s="2" t="inlineStr">
        <is>
          <t>按主文档第5章构建独立数据快照；删除确认取消/确认；双击提交和关闭</t>
        </is>
      </c>
      <c r="I104" s="2" t="inlineStr">
        <is>
          <t>取消无误操作；双击受控且后台幂等有效</t>
        </is>
      </c>
      <c r="J104" s="2" t="inlineStr">
        <is>
          <t>构建/环境/数据版本、请求与traceId、前后数据库一致性快照；并发附屏障时间线，故障附注入与恢复日志</t>
        </is>
      </c>
      <c r="K104" s="2" t="inlineStr">
        <is>
          <t>浏览器人工/自动化</t>
        </is>
      </c>
      <c r="L104" s="2" t="inlineStr">
        <is>
          <t>R3/R5</t>
        </is>
      </c>
      <c r="M104" s="2" t="inlineStr">
        <is>
          <t>《设计文档_V2.0》第4、10、12；业务约束见《需求分析文档_V2.0》第5—7章</t>
        </is>
      </c>
      <c r="N104" s="2" t="inlineStr">
        <is>
          <t>列举的每个边界/枚举/时刻/浏览器组合均为必测variant；每variant留runId或参数化子结果，全部通过才可将整条标PASS</t>
        </is>
      </c>
    </row>
    <row r="105" ht="72" customHeight="1">
      <c r="A105" s="2" t="inlineStr">
        <is>
          <t>TC-UI-005</t>
        </is>
      </c>
      <c r="B105" s="2" t="inlineStr">
        <is>
          <t>UI</t>
        </is>
      </c>
      <c r="C105" s="2" t="inlineStr">
        <is>
          <t>异步计费状态展示</t>
        </is>
      </c>
      <c r="D105" s="2" t="inlineStr">
        <is>
          <t>P1</t>
        </is>
      </c>
      <c r="E105" s="2" t="inlineStr">
        <is>
          <t>FR-23,NFR-12</t>
        </is>
      </c>
      <c r="F105" s="2" t="inlineStr">
        <is>
          <t>AC-14,AC-15</t>
        </is>
      </c>
      <c r="G105" s="2" t="inlineStr">
        <is>
          <t>D01,D06,D08</t>
        </is>
      </c>
      <c r="H105" s="2" t="inlineStr">
        <is>
          <t>按主文档第5章构建独立数据快照；观察REQUESTED/BLOCKED_BUSY/LOCAL_COMMITTED/COMPLETE</t>
        </is>
      </c>
      <c r="I105" s="2" t="inlineStr">
        <is>
          <t>待处理与已全部确认准确；失败可定位同任务</t>
        </is>
      </c>
      <c r="J105" s="2" t="inlineStr">
        <is>
          <t>构建/环境/数据版本、请求与traceId、前后数据库一致性快照；并发附屏障时间线，故障附注入与恢复日志</t>
        </is>
      </c>
      <c r="K105" s="2" t="inlineStr">
        <is>
          <t>浏览器人工/自动化</t>
        </is>
      </c>
      <c r="L105" s="2" t="inlineStr">
        <is>
          <t>R3/R5</t>
        </is>
      </c>
      <c r="M105" s="2" t="inlineStr">
        <is>
          <t>《设计文档_V2.0》第4、10、12；业务约束见《需求分析文档_V2.0》第5—7章</t>
        </is>
      </c>
      <c r="N105" s="2" t="inlineStr">
        <is>
          <t>列举的每个边界/枚举/时刻/浏览器组合均为必测variant；每variant留runId或参数化子结果，全部通过才可将整条标PASS</t>
        </is>
      </c>
    </row>
    <row r="106" ht="72" customHeight="1">
      <c r="A106" s="2" t="inlineStr">
        <is>
          <t>TC-UI-006</t>
        </is>
      </c>
      <c r="B106" s="2" t="inlineStr">
        <is>
          <t>UI</t>
        </is>
      </c>
      <c r="C106" s="2" t="inlineStr">
        <is>
          <t>浏览器视口和空错误态</t>
        </is>
      </c>
      <c r="D106" s="2" t="inlineStr">
        <is>
          <t>P1</t>
        </is>
      </c>
      <c r="E106" s="2" t="inlineStr">
        <is>
          <t>FR-24,NFR-12</t>
        </is>
      </c>
      <c r="F106" s="2" t="inlineStr">
        <is>
          <t>AC-16</t>
        </is>
      </c>
      <c r="G106" s="2" t="inlineStr">
        <is>
          <t>D01,D06,D08</t>
        </is>
      </c>
      <c r="H106" s="2" t="inlineStr">
        <is>
          <t>按主文档第5章构建独立数据快照；记录实际浏览器版本，桌面视口及约定窄屏检查</t>
        </is>
      </c>
      <c r="I106" s="2" t="inlineStr">
        <is>
          <t>核心路径无阻塞；分页空态加载失败明确；未测移动端不宣称支持</t>
        </is>
      </c>
      <c r="J106" s="2" t="inlineStr">
        <is>
          <t>构建/环境/数据版本、请求与traceId、前后数据库一致性快照；并发附屏障时间线，故障附注入与恢复日志</t>
        </is>
      </c>
      <c r="K106" s="2" t="inlineStr">
        <is>
          <t>浏览器人工/自动化</t>
        </is>
      </c>
      <c r="L106" s="2" t="inlineStr">
        <is>
          <t>R3/R5</t>
        </is>
      </c>
      <c r="M106" s="2" t="inlineStr">
        <is>
          <t>《设计文档_V2.0》第4、10、12；业务约束见《需求分析文档_V2.0》第5—7章</t>
        </is>
      </c>
      <c r="N106" s="2" t="inlineStr">
        <is>
          <t>列举的每个边界/枚举/时刻/浏览器组合均为必测variant；每variant留runId或参数化子结果，全部通过才可将整条标PASS</t>
        </is>
      </c>
    </row>
    <row r="107" ht="72" customHeight="1">
      <c r="A107" s="2" t="inlineStr">
        <is>
          <t>TC-UI-007</t>
        </is>
      </c>
      <c r="B107" s="2" t="inlineStr">
        <is>
          <t>UI</t>
        </is>
      </c>
      <c r="C107" s="2" t="inlineStr">
        <is>
          <t>成绩未保存离开与F空值</t>
        </is>
      </c>
      <c r="D107" s="2" t="inlineStr">
        <is>
          <t>P1</t>
        </is>
      </c>
      <c r="E107" s="2" t="inlineStr">
        <is>
          <t>FR-14,NFR-12</t>
        </is>
      </c>
      <c r="F107" s="2" t="inlineStr">
        <is>
          <t>AC-09</t>
        </is>
      </c>
      <c r="G107" s="2" t="inlineStr">
        <is>
          <t>D01,D06,D08</t>
        </is>
      </c>
      <c r="H107" s="2" t="inlineStr">
        <is>
          <t>按主文档第5章构建独立数据快照；教师编辑未保存离开，再对照F与null名单</t>
        </is>
      </c>
      <c r="I107" s="2" t="inlineStr">
        <is>
          <t>提醒未保存，不暗中提交；F失败成绩与未录入清楚区分</t>
        </is>
      </c>
      <c r="J107" s="2" t="inlineStr">
        <is>
          <t>构建/环境/数据版本、请求与traceId、前后数据库一致性快照；并发附屏障时间线，故障附注入与恢复日志</t>
        </is>
      </c>
      <c r="K107" s="2" t="inlineStr">
        <is>
          <t>浏览器人工/自动化</t>
        </is>
      </c>
      <c r="L107" s="2" t="inlineStr">
        <is>
          <t>R3/R5</t>
        </is>
      </c>
      <c r="M107" s="2" t="inlineStr">
        <is>
          <t>《设计文档_V2.0》第4、10、12；业务约束见《需求分析文档_V2.0》第5—7章</t>
        </is>
      </c>
      <c r="N107" s="2" t="inlineStr">
        <is>
          <t>列举的每个边界/枚举/时刻/浏览器组合均为必测variant；每variant留runId或参数化子结果，全部通过才可将整条标PASS</t>
        </is>
      </c>
    </row>
    <row r="108" ht="72" customHeight="1">
      <c r="A108" s="2" t="inlineStr">
        <is>
          <t>TC-UI-008</t>
        </is>
      </c>
      <c r="B108" s="2" t="inlineStr">
        <is>
          <t>UI</t>
        </is>
      </c>
      <c r="C108" s="2" t="inlineStr">
        <is>
          <t>旧用户数据和空错误态</t>
        </is>
      </c>
      <c r="D108" s="2" t="inlineStr">
        <is>
          <t>P1</t>
        </is>
      </c>
      <c r="E108" s="2" t="inlineStr">
        <is>
          <t>FR-24,NFR-12</t>
        </is>
      </c>
      <c r="F108" s="2" t="inlineStr">
        <is>
          <t>AC-16</t>
        </is>
      </c>
      <c r="G108" s="2" t="inlineStr">
        <is>
          <t>D01,D06,D08</t>
        </is>
      </c>
      <c r="H108" s="2" t="inlineStr">
        <is>
          <t>按主文档第5章构建独立数据快照；用户切换、无结果和加载失败后重进列表</t>
        </is>
      </c>
      <c r="I108" s="2" t="inlineStr">
        <is>
          <t>无上一个用户数据残留；loading/empty/error区分并可恢复</t>
        </is>
      </c>
      <c r="J108" s="2" t="inlineStr">
        <is>
          <t>构建/环境/数据版本、请求与traceId、前后数据库一致性快照；并发附屏障时间线，故障附注入与恢复日志</t>
        </is>
      </c>
      <c r="K108" s="2" t="inlineStr">
        <is>
          <t>浏览器人工/自动化</t>
        </is>
      </c>
      <c r="L108" s="2" t="inlineStr">
        <is>
          <t>R3/R5</t>
        </is>
      </c>
      <c r="M108" s="2" t="inlineStr">
        <is>
          <t>《设计文档_V2.0》第4、10、12；业务约束见《需求分析文档_V2.0》第5—7章</t>
        </is>
      </c>
      <c r="N108" s="2" t="inlineStr">
        <is>
          <t>列举的每个边界/枚举/时刻/浏览器组合均为必测variant；每variant留runId或参数化子结果，全部通过才可将整条标PASS</t>
        </is>
      </c>
    </row>
    <row r="109" ht="72" customHeight="1">
      <c r="A109" s="2" t="inlineStr">
        <is>
          <t>TC-UI-009</t>
        </is>
      </c>
      <c r="B109" s="2" t="inlineStr">
        <is>
          <t>UI</t>
        </is>
      </c>
      <c r="C109" s="2" t="inlineStr">
        <is>
          <t>关闭前二次确认</t>
        </is>
      </c>
      <c r="D109" s="2" t="inlineStr">
        <is>
          <t>P1</t>
        </is>
      </c>
      <c r="E109" s="2" t="inlineStr">
        <is>
          <t>FR-20,FR-23,NFR-12</t>
        </is>
      </c>
      <c r="F109" s="2" t="inlineStr">
        <is>
          <t>AC-12,AC-13,AC-14,AC-15</t>
        </is>
      </c>
      <c r="G109" s="2" t="inlineStr">
        <is>
          <t>D01,D06,D08</t>
        </is>
      </c>
      <c r="H109" s="2" t="inlineStr">
        <is>
          <t>按主文档第5章构建独立数据快照；管理员取消关闭确认再确认；观察请求及轮询</t>
        </is>
      </c>
      <c r="I109" s="2" t="inlineStr">
        <is>
          <t>取消不创建任务；确认202仅受理；最后本地和远端分别展示</t>
        </is>
      </c>
      <c r="J109" s="2" t="inlineStr">
        <is>
          <t>构建/环境/数据版本、请求与traceId、前后数据库一致性快照；并发附屏障时间线，故障附注入与恢复日志</t>
        </is>
      </c>
      <c r="K109" s="2" t="inlineStr">
        <is>
          <t>浏览器人工/自动化</t>
        </is>
      </c>
      <c r="L109" s="2" t="inlineStr">
        <is>
          <t>R3/R5</t>
        </is>
      </c>
      <c r="M109" s="2" t="inlineStr">
        <is>
          <t>《设计文档_V2.0》第4、10、12；业务约束见《需求分析文档_V2.0》第5—7章</t>
        </is>
      </c>
      <c r="N109" s="2" t="inlineStr">
        <is>
          <t>列举的每个边界/枚举/时刻/浏览器组合均为必测variant；每variant留runId或参数化子结果，全部通过才可将整条标PASS</t>
        </is>
      </c>
    </row>
    <row r="110" ht="72" customHeight="1">
      <c r="A110" s="2" t="inlineStr">
        <is>
          <t>TC-OPS-001</t>
        </is>
      </c>
      <c r="B110" s="2" t="inlineStr">
        <is>
          <t>OPS</t>
        </is>
      </c>
      <c r="C110" s="2" t="inlineStr">
        <is>
          <t>新库迁移与启动</t>
        </is>
      </c>
      <c r="D110" s="2" t="inlineStr">
        <is>
          <t>P0</t>
        </is>
      </c>
      <c r="E110" s="2" t="inlineStr">
        <is>
          <t>DATA-05,NFR-07,NFR-08,NFR-10,NFR-11</t>
        </is>
      </c>
      <c r="F110" s="2" t="inlineStr">
        <is>
          <t>AC-14,AC-15</t>
        </is>
      </c>
      <c r="G110" s="2" t="inlineStr">
        <is>
          <t>D07,D08,D12</t>
        </is>
      </c>
      <c r="H110" s="2" t="inlineStr">
        <is>
          <t>按主文档第5章构建独立数据快照；空库Flyway、初始化再启动并运行冒烟</t>
        </is>
      </c>
      <c r="I110" s="2" t="inlineStr">
        <is>
          <t>迁移版本正确；三角色可用；无需手工改业务表</t>
        </is>
      </c>
      <c r="J110" s="2" t="inlineStr">
        <is>
          <t>构建/环境/数据版本、请求与traceId、前后数据库一致性快照；并发附屏障时间线，故障附注入与恢复日志</t>
        </is>
      </c>
      <c r="K110" s="2" t="inlineStr">
        <is>
          <t>自动化+人工核验</t>
        </is>
      </c>
      <c r="L110" s="2" t="inlineStr">
        <is>
          <t>R1组织另一成员交叉复核</t>
        </is>
      </c>
      <c r="M110" s="2" t="inlineStr">
        <is>
          <t>《设计文档_V2.0》第13；业务约束见《需求分析文档_V2.0》第5—7章</t>
        </is>
      </c>
      <c r="N110" s="2" t="inlineStr">
        <is>
          <t>列举的每个边界/枚举/时刻/浏览器组合均为必测variant；每variant留runId或参数化子结果，全部通过才可将整条标PASS</t>
        </is>
      </c>
    </row>
    <row r="111" ht="72" customHeight="1">
      <c r="A111" s="2" t="inlineStr">
        <is>
          <t>TC-OPS-002</t>
        </is>
      </c>
      <c r="B111" s="2" t="inlineStr">
        <is>
          <t>OPS</t>
        </is>
      </c>
      <c r="C111" s="2" t="inlineStr">
        <is>
          <t>旧库升级与回滚准备</t>
        </is>
      </c>
      <c r="D111" s="2" t="inlineStr">
        <is>
          <t>P0</t>
        </is>
      </c>
      <c r="E111" s="2" t="inlineStr">
        <is>
          <t>NFR-07,NFR-08,NFR-10,NFR-11</t>
        </is>
      </c>
      <c r="F111" s="2" t="inlineStr">
        <is>
          <t>AC-14,AC-15</t>
        </is>
      </c>
      <c r="G111" s="2" t="inlineStr">
        <is>
          <t>D07,D08,D12</t>
        </is>
      </c>
      <c r="H111" s="2" t="inlineStr">
        <is>
          <t>按主文档第5章构建独立数据快照；在旧schema副本备份、迁移、恢复演练</t>
        </is>
      </c>
      <c r="I111" s="2" t="inlineStr">
        <is>
          <t>记录schema兼容；恢复步骤可执行；不使用未经验证自动降级</t>
        </is>
      </c>
      <c r="J111" s="2" t="inlineStr">
        <is>
          <t>构建/环境/数据版本、请求与traceId、前后数据库一致性快照；并发附屏障时间线，故障附注入与恢复日志</t>
        </is>
      </c>
      <c r="K111" s="2" t="inlineStr">
        <is>
          <t>自动化+人工核验</t>
        </is>
      </c>
      <c r="L111" s="2" t="inlineStr">
        <is>
          <t>R1组织另一成员交叉复核</t>
        </is>
      </c>
      <c r="M111" s="2" t="inlineStr">
        <is>
          <t>《设计文档_V2.0》第13；业务约束见《需求分析文档_V2.0》第5—7章</t>
        </is>
      </c>
      <c r="N111" s="2" t="inlineStr">
        <is>
          <t>列举的每个边界/枚举/时刻/浏览器组合均为必测variant；每variant留runId或参数化子结果，全部通过才可将整条标PASS</t>
        </is>
      </c>
    </row>
    <row r="112" ht="72" customHeight="1">
      <c r="A112" s="2" t="inlineStr">
        <is>
          <t>TC-OPS-003</t>
        </is>
      </c>
      <c r="B112" s="2" t="inlineStr">
        <is>
          <t>OPS</t>
        </is>
      </c>
      <c r="C112" s="2" t="inlineStr">
        <is>
          <t>备份恢复完整性</t>
        </is>
      </c>
      <c r="D112" s="2" t="inlineStr">
        <is>
          <t>P0</t>
        </is>
      </c>
      <c r="E112" s="2" t="inlineStr">
        <is>
          <t>NFR-07,NFR-08,NFR-10,NFR-11</t>
        </is>
      </c>
      <c r="F112" s="2" t="inlineStr">
        <is>
          <t>AC-14,AC-15</t>
        </is>
      </c>
      <c r="G112" s="2" t="inlineStr">
        <is>
          <t>D07,D08,D12</t>
        </is>
      </c>
      <c r="H112" s="2" t="inlineStr">
        <is>
          <t>按主文档第5章构建独立数据快照；备份含ACTIVE/成绩/关闭/outbox/计费回执后恢复</t>
        </is>
      </c>
      <c r="I112" s="2" t="inlineStr">
        <is>
          <t>关键表及业务键一致；恢复后无重复收费</t>
        </is>
      </c>
      <c r="J112" s="2" t="inlineStr">
        <is>
          <t>构建/环境/数据版本、请求与traceId、前后数据库一致性快照；并发附屏障时间线，故障附注入与恢复日志</t>
        </is>
      </c>
      <c r="K112" s="2" t="inlineStr">
        <is>
          <t>自动化+人工核验</t>
        </is>
      </c>
      <c r="L112" s="2" t="inlineStr">
        <is>
          <t>R1组织另一成员交叉复核</t>
        </is>
      </c>
      <c r="M112" s="2" t="inlineStr">
        <is>
          <t>《设计文档_V2.0》第13；业务约束见《需求分析文档_V2.0》第5—7章</t>
        </is>
      </c>
      <c r="N112" s="2" t="inlineStr">
        <is>
          <t>列举的每个边界/枚举/时刻/浏览器组合均为必测variant；每variant留runId或参数化子结果，全部通过才可将整条标PASS</t>
        </is>
      </c>
    </row>
    <row r="113" ht="72" customHeight="1">
      <c r="A113" s="2" t="inlineStr">
        <is>
          <t>TC-OPS-004</t>
        </is>
      </c>
      <c r="B113" s="2" t="inlineStr">
        <is>
          <t>OPS</t>
        </is>
      </c>
      <c r="C113" s="2" t="inlineStr">
        <is>
          <t>节点重启与共享Session</t>
        </is>
      </c>
      <c r="D113" s="2" t="inlineStr">
        <is>
          <t>P0</t>
        </is>
      </c>
      <c r="E113" s="2" t="inlineStr">
        <is>
          <t>NFR-07,NFR-08,NFR-10,NFR-11</t>
        </is>
      </c>
      <c r="F113" s="2" t="inlineStr">
        <is>
          <t>AC-14,AC-15</t>
        </is>
      </c>
      <c r="G113" s="2" t="inlineStr">
        <is>
          <t>D07,D08,D12</t>
        </is>
      </c>
      <c r="H113" s="2" t="inlineStr">
        <is>
          <t>按主文档第5章构建独立数据快照；重启服务；多实例请求不同节点</t>
        </is>
      </c>
      <c r="I113" s="2" t="inlineStr">
        <is>
          <t>Session配置或明确失效策略可验证；共享DB业务一致；无节点私有名额</t>
        </is>
      </c>
      <c r="J113" s="2" t="inlineStr">
        <is>
          <t>构建/环境/数据版本、请求与traceId、前后数据库一致性快照；并发附屏障时间线，故障附注入与恢复日志</t>
        </is>
      </c>
      <c r="K113" s="2" t="inlineStr">
        <is>
          <t>自动化+人工核验</t>
        </is>
      </c>
      <c r="L113" s="2" t="inlineStr">
        <is>
          <t>R1组织另一成员交叉复核</t>
        </is>
      </c>
      <c r="M113" s="2" t="inlineStr">
        <is>
          <t>《设计文档_V2.0》第13；业务约束见《需求分析文档_V2.0》第5—7章</t>
        </is>
      </c>
      <c r="N113" s="2" t="inlineStr">
        <is>
          <t>列举的每个边界/枚举/时刻/浏览器组合均为必测variant；每variant留runId或参数化子结果，全部通过才可将整条标PASS</t>
        </is>
      </c>
    </row>
    <row r="114" ht="72" customHeight="1">
      <c r="A114" s="2" t="inlineStr">
        <is>
          <t>TC-OPS-005</t>
        </is>
      </c>
      <c r="B114" s="2" t="inlineStr">
        <is>
          <t>OPS</t>
        </is>
      </c>
      <c r="C114" s="2" t="inlineStr">
        <is>
          <t>日志监控告警关联</t>
        </is>
      </c>
      <c r="D114" s="2" t="inlineStr">
        <is>
          <t>P0</t>
        </is>
      </c>
      <c r="E114" s="2" t="inlineStr">
        <is>
          <t>NFR-07,NFR-08,NFR-10,NFR-11</t>
        </is>
      </c>
      <c r="F114" s="2" t="inlineStr">
        <is>
          <t>AC-14,AC-15</t>
        </is>
      </c>
      <c r="G114" s="2" t="inlineStr">
        <is>
          <t>D07,D08,D12</t>
        </is>
      </c>
      <c r="H114" s="2" t="inlineStr">
        <is>
          <t>按主文档第5章构建独立数据快照；模拟计费连续失败、关闭失败、连接异常</t>
        </is>
      </c>
      <c r="I114" s="2" t="inlineStr">
        <is>
          <t>告警可触达测试值班角色；traceId/jobId定位；敏感值脱敏</t>
        </is>
      </c>
      <c r="J114" s="2" t="inlineStr">
        <is>
          <t>构建/环境/数据版本、请求与traceId、前后数据库一致性快照；并发附屏障时间线，故障附注入与恢复日志</t>
        </is>
      </c>
      <c r="K114" s="2" t="inlineStr">
        <is>
          <t>自动化+人工核验</t>
        </is>
      </c>
      <c r="L114" s="2" t="inlineStr">
        <is>
          <t>R1组织另一成员交叉复核</t>
        </is>
      </c>
      <c r="M114" s="2" t="inlineStr">
        <is>
          <t>《设计文档_V2.0》第13；业务约束见《需求分析文档_V2.0》第5—7章</t>
        </is>
      </c>
      <c r="N114" s="2" t="inlineStr">
        <is>
          <t>列举的每个边界/枚举/时刻/浏览器组合均为必测variant；每variant留runId或参数化子结果，全部通过才可将整条标PASS</t>
        </is>
      </c>
    </row>
    <row r="115" ht="72" customHeight="1">
      <c r="A115" s="2" t="inlineStr">
        <is>
          <t>TC-OPS-006</t>
        </is>
      </c>
      <c r="B115" s="2" t="inlineStr">
        <is>
          <t>OPS</t>
        </is>
      </c>
      <c r="C115" s="2" t="inlineStr">
        <is>
          <t>故障注入可重复及清理</t>
        </is>
      </c>
      <c r="D115" s="2" t="inlineStr">
        <is>
          <t>P0</t>
        </is>
      </c>
      <c r="E115" s="2" t="inlineStr">
        <is>
          <t>FR-20,NFR-07,NFR-08,NFR-10,NFR-11</t>
        </is>
      </c>
      <c r="F115" s="2" t="inlineStr">
        <is>
          <t>AC-14,AC-15</t>
        </is>
      </c>
      <c r="G115" s="2" t="inlineStr">
        <is>
          <t>D07,D08,D12</t>
        </is>
      </c>
      <c r="H115" s="2" t="inlineStr">
        <is>
          <t>按主文档第5章构建独立数据快照；执行关闭提交前失败矩阵，再关闭注入点重测</t>
        </is>
      </c>
      <c r="I115" s="2" t="inlineStr">
        <is>
          <t>每个点业务回滚不变；清理注入后正常关闭；保留前后快照</t>
        </is>
      </c>
      <c r="J115" s="2" t="inlineStr">
        <is>
          <t>构建/环境/数据版本、请求与traceId、前后数据库一致性快照；并发附屏障时间线，故障附注入与恢复日志</t>
        </is>
      </c>
      <c r="K115" s="2" t="inlineStr">
        <is>
          <t>自动化+人工核验</t>
        </is>
      </c>
      <c r="L115" s="2" t="inlineStr">
        <is>
          <t>R1组织另一成员交叉复核</t>
        </is>
      </c>
      <c r="M115" s="2" t="inlineStr">
        <is>
          <t>《设计文档_V2.0》第13；业务约束见《需求分析文档_V2.0》第5—7章</t>
        </is>
      </c>
      <c r="N115" s="2" t="inlineStr">
        <is>
          <t>列举的每个边界/枚举/时刻/浏览器组合均为必测variant；每variant留runId或参数化子结果，全部通过才可将整条标PASS</t>
        </is>
      </c>
    </row>
    <row r="116" ht="72" customHeight="1">
      <c r="A116" s="2" t="inlineStr">
        <is>
          <t>TC-OPS-007</t>
        </is>
      </c>
      <c r="B116" s="2" t="inlineStr">
        <is>
          <t>OPS</t>
        </is>
      </c>
      <c r="C116" s="2" t="inlineStr">
        <is>
          <t>迁移checksum异常</t>
        </is>
      </c>
      <c r="D116" s="2" t="inlineStr">
        <is>
          <t>P0</t>
        </is>
      </c>
      <c r="E116" s="2" t="inlineStr">
        <is>
          <t>NFR-07,NFR-08,NFR-10,NFR-11</t>
        </is>
      </c>
      <c r="F116" s="2" t="inlineStr">
        <is>
          <t>AC-14,AC-15</t>
        </is>
      </c>
      <c r="G116" s="2" t="inlineStr">
        <is>
          <t>D07,D08,D12</t>
        </is>
      </c>
      <c r="H116" s="2" t="inlineStr">
        <is>
          <t>按主文档第5章构建独立数据快照；已应用迁移的独立副本篡改文件，validate再启动</t>
        </is>
      </c>
      <c r="I116" s="2" t="inlineStr">
        <is>
          <t>validate失败并阻止错误启动；不自动repair掩盖差异</t>
        </is>
      </c>
      <c r="J116" s="2" t="inlineStr">
        <is>
          <t>构建/环境/数据版本、请求与traceId、前后数据库一致性快照；并发附屏障时间线，故障附注入与恢复日志</t>
        </is>
      </c>
      <c r="K116" s="2" t="inlineStr">
        <is>
          <t>自动化+人工核验</t>
        </is>
      </c>
      <c r="L116" s="2" t="inlineStr">
        <is>
          <t>R1组织另一成员交叉复核</t>
        </is>
      </c>
      <c r="M116" s="2" t="inlineStr">
        <is>
          <t>《设计文档_V2.0》第13；业务约束见《需求分析文档_V2.0》第5—7章</t>
        </is>
      </c>
      <c r="N116" s="2" t="inlineStr">
        <is>
          <t>列举的每个边界/枚举/时刻/浏览器组合均为必测variant；每variant留runId或参数化子结果，全部通过才可将整条标PASS</t>
        </is>
      </c>
    </row>
    <row r="117" ht="72" customHeight="1">
      <c r="A117" s="2" t="inlineStr">
        <is>
          <t>TC-OPS-008</t>
        </is>
      </c>
      <c r="B117" s="2" t="inlineStr">
        <is>
          <t>OPS</t>
        </is>
      </c>
      <c r="C117" s="2" t="inlineStr">
        <is>
          <t>冻结构建冷启动演示</t>
        </is>
      </c>
      <c r="D117" s="2" t="inlineStr">
        <is>
          <t>P0</t>
        </is>
      </c>
      <c r="E117" s="2" t="inlineStr">
        <is>
          <t>DATA-04,NFR-07,NFR-08,NFR-10,NFR-11</t>
        </is>
      </c>
      <c r="F117" s="2" t="inlineStr">
        <is>
          <t>AC-14,AC-15</t>
        </is>
      </c>
      <c r="G117" s="2" t="inlineStr">
        <is>
          <t>D07,D08,D12</t>
        </is>
      </c>
      <c r="H117" s="2" t="inlineStr">
        <is>
          <t>按主文档第5章构建独立数据快照；从空环境按交付手册构建初始化，完整三角色演示</t>
        </is>
      </c>
      <c r="I117" s="2" t="inlineStr">
        <is>
          <t>tag/工具/Mock/fixture一致；步骤可复现无需临时改业务表</t>
        </is>
      </c>
      <c r="J117" s="2" t="inlineStr">
        <is>
          <t>构建/环境/数据版本、请求与traceId、前后数据库一致性快照；并发附屏障时间线，故障附注入与恢复日志</t>
        </is>
      </c>
      <c r="K117" s="2" t="inlineStr">
        <is>
          <t>自动化+人工核验</t>
        </is>
      </c>
      <c r="L117" s="2" t="inlineStr">
        <is>
          <t>R1组织另一成员交叉复核</t>
        </is>
      </c>
      <c r="M117" s="2" t="inlineStr">
        <is>
          <t>《设计文档_V2.0》第13；业务约束见《需求分析文档_V2.0》第5—7章</t>
        </is>
      </c>
      <c r="N117" s="2" t="inlineStr">
        <is>
          <t>列举的每个边界/枚举/时刻/浏览器组合均为必测variant；每variant留runId或参数化子结果，全部通过才可将整条标PASS</t>
        </is>
      </c>
    </row>
    <row r="118" ht="72" customHeight="1">
      <c r="A118" s="2" t="inlineStr">
        <is>
          <t>TC-OPS-009</t>
        </is>
      </c>
      <c r="B118" s="2" t="inlineStr">
        <is>
          <t>OPS</t>
        </is>
      </c>
      <c r="C118" s="2" t="inlineStr">
        <is>
          <t>故障恢复耗时与数据损失</t>
        </is>
      </c>
      <c r="D118" s="2" t="inlineStr">
        <is>
          <t>P0</t>
        </is>
      </c>
      <c r="E118" s="2" t="inlineStr">
        <is>
          <t>NFR-07,NFR-08,NFR-10,NFR-11</t>
        </is>
      </c>
      <c r="F118" s="2" t="inlineStr">
        <is>
          <t>AC-14,AC-15</t>
        </is>
      </c>
      <c r="G118" s="2" t="inlineStr">
        <is>
          <t>D07,D08,D12</t>
        </is>
      </c>
      <c r="H118" s="2" t="inlineStr">
        <is>
          <t>按主文档第5章构建独立数据快照；中断关键阶段后记录故障发现恢复收敛时刻并前后对账</t>
        </is>
      </c>
      <c r="I118" s="2" t="inlineStr">
        <is>
          <t>报告实际耗时和是否丢失；不虚构RTO/RPO SLA</t>
        </is>
      </c>
      <c r="J118" s="2" t="inlineStr">
        <is>
          <t>构建/环境/数据版本、请求与traceId、前后数据库一致性快照；并发附屏障时间线，故障附注入与恢复日志</t>
        </is>
      </c>
      <c r="K118" s="2" t="inlineStr">
        <is>
          <t>自动化+人工核验</t>
        </is>
      </c>
      <c r="L118" s="2" t="inlineStr">
        <is>
          <t>R1组织另一成员交叉复核</t>
        </is>
      </c>
      <c r="M118" s="2" t="inlineStr">
        <is>
          <t>《设计文档_V2.0》第13；业务约束见《需求分析文档_V2.0》第5—7章</t>
        </is>
      </c>
      <c r="N118" s="2" t="inlineStr">
        <is>
          <t>列举的每个边界/枚举/时刻/浏览器组合均为必测variant；每variant留runId或参数化子结果，全部通过才可将整条标PASS</t>
        </is>
      </c>
    </row>
    <row r="119" ht="72" customHeight="1">
      <c r="A119" s="2" t="inlineStr">
        <is>
          <t>TC-PERF-001</t>
        </is>
      </c>
      <c r="B119" s="2" t="inlineStr">
        <is>
          <t>PERF</t>
        </is>
      </c>
      <c r="C119" s="2" t="inlineStr">
        <is>
          <t>单用户基准L0</t>
        </is>
      </c>
      <c r="D119" s="2" t="inlineStr">
        <is>
          <t>P0</t>
        </is>
      </c>
      <c r="E119" s="2" t="inlineStr">
        <is>
          <t>NFR-01,NFR-02,NFR-03,NFR-04,NFR-05</t>
        </is>
      </c>
      <c r="F119" s="2" t="inlineStr">
        <is>
          <t>AC-17</t>
        </is>
      </c>
      <c r="G119" s="2" t="inlineStr">
        <is>
          <t>D11,D13</t>
        </is>
      </c>
      <c r="H119" s="2" t="inlineStr">
        <is>
          <t>按主文档第5章构建独立数据快照；独立账号10秒思考；预热2分钟稳态10分钟</t>
        </is>
      </c>
      <c r="I119" s="2" t="inlineStr">
        <is>
          <t>记录实际样本/延迟/失败及资源；功能断言通过，不伪造TPS目标</t>
        </is>
      </c>
      <c r="J119" s="2" t="inlineStr">
        <is>
          <t>构建/环境/数据版本、请求与traceId、前后数据库一致性快照；并发附屏障时间线，故障附注入与恢复日志</t>
        </is>
      </c>
      <c r="K119" s="2" t="inlineStr">
        <is>
          <t>自动化+人工核验</t>
        </is>
      </c>
      <c r="L119" s="2" t="inlineStr">
        <is>
          <t>R1/R2</t>
        </is>
      </c>
      <c r="M119" s="2" t="inlineStr">
        <is>
          <t>《设计文档_V2.0》第12；业务约束见《需求分析文档_V2.0》第5—7章</t>
        </is>
      </c>
      <c r="N119" s="2" t="inlineStr">
        <is>
          <t>列举的每个边界/枚举/时刻/浏览器组合均为必测variant；每variant留runId或参数化子结果，全部通过才可将整条标PASS</t>
        </is>
      </c>
    </row>
    <row r="120" ht="72" customHeight="1">
      <c r="A120" s="2" t="inlineStr">
        <is>
          <t>TC-PERF-002</t>
        </is>
      </c>
      <c r="B120" s="2" t="inlineStr">
        <is>
          <t>PERF</t>
        </is>
      </c>
      <c r="C120" s="2" t="inlineStr">
        <is>
          <t>单实例500阶梯L1</t>
        </is>
      </c>
      <c r="D120" s="2" t="inlineStr">
        <is>
          <t>P0</t>
        </is>
      </c>
      <c r="E120" s="2" t="inlineStr">
        <is>
          <t>NFR-01,NFR-02,NFR-03,NFR-04,NFR-05</t>
        </is>
      </c>
      <c r="F120" s="2" t="inlineStr">
        <is>
          <t>AC-17</t>
        </is>
      </c>
      <c r="G120" s="2" t="inlineStr">
        <is>
          <t>D11,D13</t>
        </is>
      </c>
      <c r="H120" s="2" t="inlineStr">
        <is>
          <t>按主文档第5章构建独立数据快照；100/300/500独立活跃Session，逐档预热稳态</t>
        </is>
      </c>
      <c r="I120" s="2" t="inlineStr">
        <is>
          <t>500档实测；成功且&lt;=120秒/全部尝试&gt;=80%；失败另统计</t>
        </is>
      </c>
      <c r="J120" s="2" t="inlineStr">
        <is>
          <t>构建/环境/数据版本、请求与traceId、前后数据库一致性快照；并发附屏障时间线，故障附注入与恢复日志</t>
        </is>
      </c>
      <c r="K120" s="2" t="inlineStr">
        <is>
          <t>自动化+人工核验</t>
        </is>
      </c>
      <c r="L120" s="2" t="inlineStr">
        <is>
          <t>R1/R2</t>
        </is>
      </c>
      <c r="M120" s="2" t="inlineStr">
        <is>
          <t>《设计文档_V2.0》第12；业务约束见《需求分析文档_V2.0》第5—7章</t>
        </is>
      </c>
      <c r="N120" s="2" t="inlineStr">
        <is>
          <t>列举的每个边界/枚举/时刻/浏览器组合均为必测variant；每variant留runId或参数化子结果，全部通过才可将整条标PASS</t>
        </is>
      </c>
    </row>
    <row r="121" ht="72" customHeight="1">
      <c r="A121" s="2" t="inlineStr">
        <is>
          <t>TC-PERF-003</t>
        </is>
      </c>
      <c r="B121" s="2" t="inlineStr">
        <is>
          <t>PERF</t>
        </is>
      </c>
      <c r="C121" s="2" t="inlineStr">
        <is>
          <t>共享中央库2000阶梯L2</t>
        </is>
      </c>
      <c r="D121" s="2" t="inlineStr">
        <is>
          <t>P0</t>
        </is>
      </c>
      <c r="E121" s="2" t="inlineStr">
        <is>
          <t>NFR-01,NFR-02,NFR-03,NFR-04,NFR-05</t>
        </is>
      </c>
      <c r="F121" s="2" t="inlineStr">
        <is>
          <t>AC-17</t>
        </is>
      </c>
      <c r="G121" s="2" t="inlineStr">
        <is>
          <t>D11,D13</t>
        </is>
      </c>
      <c r="H121" s="2" t="inlineStr">
        <is>
          <t>按主文档第5章构建独立数据快照；&lt;=4实例共用同一DB，500/1000/2000真实并发</t>
        </is>
      </c>
      <c r="I121" s="2" t="inlineStr">
        <is>
          <t>2000实际达到；同口径&gt;=80%；不以4个独立库相加</t>
        </is>
      </c>
      <c r="J121" s="2" t="inlineStr">
        <is>
          <t>构建/环境/数据版本、请求与traceId、前后数据库一致性快照；并发附屏障时间线，故障附注入与恢复日志</t>
        </is>
      </c>
      <c r="K121" s="2" t="inlineStr">
        <is>
          <t>自动化+人工核验</t>
        </is>
      </c>
      <c r="L121" s="2" t="inlineStr">
        <is>
          <t>R1/R2</t>
        </is>
      </c>
      <c r="M121" s="2" t="inlineStr">
        <is>
          <t>《设计文档_V2.0》第12；业务约束见《需求分析文档_V2.0》第5—7章</t>
        </is>
      </c>
      <c r="N121" s="2" t="inlineStr">
        <is>
          <t>列举的每个边界/枚举/时刻/浏览器组合均为必测variant；每variant留runId或参数化子结果，全部通过才可将整条标PASS</t>
        </is>
      </c>
    </row>
    <row r="122" ht="72" customHeight="1">
      <c r="A122" s="2" t="inlineStr">
        <is>
          <t>TC-PERF-004</t>
        </is>
      </c>
      <c r="B122" s="2" t="inlineStr">
        <is>
          <t>PERF</t>
        </is>
      </c>
      <c r="C122" s="2" t="inlineStr">
        <is>
          <t>重复测量L3</t>
        </is>
      </c>
      <c r="D122" s="2" t="inlineStr">
        <is>
          <t>P0</t>
        </is>
      </c>
      <c r="E122" s="2" t="inlineStr">
        <is>
          <t>NFR-01,NFR-02,NFR-03,NFR-04,NFR-05</t>
        </is>
      </c>
      <c r="F122" s="2" t="inlineStr">
        <is>
          <t>AC-17</t>
        </is>
      </c>
      <c r="G122" s="2" t="inlineStr">
        <is>
          <t>D11,D13</t>
        </is>
      </c>
      <c r="H122" s="2" t="inlineStr">
        <is>
          <t>按主文档第5章构建独立数据快照；代表轮次重置同版数据再独立重复两次</t>
        </is>
      </c>
      <c r="I122" s="2" t="inlineStr">
        <is>
          <t>三轮结果和最差值均报告；不可只挑最好轮次</t>
        </is>
      </c>
      <c r="J122" s="2" t="inlineStr">
        <is>
          <t>构建/环境/数据版本、请求与traceId、前后数据库一致性快照；并发附屏障时间线，故障附注入与恢复日志</t>
        </is>
      </c>
      <c r="K122" s="2" t="inlineStr">
        <is>
          <t>自动化+人工核验</t>
        </is>
      </c>
      <c r="L122" s="2" t="inlineStr">
        <is>
          <t>R1/R2</t>
        </is>
      </c>
      <c r="M122" s="2" t="inlineStr">
        <is>
          <t>《设计文档_V2.0》第12；业务约束见《需求分析文档_V2.0》第5—7章</t>
        </is>
      </c>
      <c r="N122" s="2" t="inlineStr">
        <is>
          <t>列举的每个边界/枚举/时刻/浏览器组合均为必测variant；每variant留runId或参数化子结果，全部通过才可将整条标PASS</t>
        </is>
      </c>
    </row>
    <row r="123" ht="72" customHeight="1">
      <c r="A123" s="2" t="inlineStr">
        <is>
          <t>TC-PERF-005</t>
        </is>
      </c>
      <c r="B123" s="2" t="inlineStr">
        <is>
          <t>PERF</t>
        </is>
      </c>
      <c r="C123" s="2" t="inlineStr">
        <is>
          <t>热点容量L4</t>
        </is>
      </c>
      <c r="D123" s="2" t="inlineStr">
        <is>
          <t>P0</t>
        </is>
      </c>
      <c r="E123" s="2" t="inlineStr">
        <is>
          <t>NFR-01,NFR-02,NFR-03,NFR-04,NFR-05</t>
        </is>
      </c>
      <c r="F123" s="2" t="inlineStr">
        <is>
          <t>AC-17</t>
        </is>
      </c>
      <c r="G123" s="2" t="inlineStr">
        <is>
          <t>D11,D13</t>
        </is>
      </c>
      <c r="H123" s="2" t="inlineStr">
        <is>
          <t>按主文档第5章构建独立数据快照；20竞争者热点名额并发叠加后台合理流量</t>
        </is>
      </c>
      <c r="I123" s="2" t="inlineStr">
        <is>
          <t>无超卖、无人数不一致；业务预期409与技术故障分别统计</t>
        </is>
      </c>
      <c r="J123" s="2" t="inlineStr">
        <is>
          <t>构建/环境/数据版本、请求与traceId、前后数据库一致性快照；并发附屏障时间线，故障附注入与恢复日志</t>
        </is>
      </c>
      <c r="K123" s="2" t="inlineStr">
        <is>
          <t>自动化+人工核验</t>
        </is>
      </c>
      <c r="L123" s="2" t="inlineStr">
        <is>
          <t>R1/R2</t>
        </is>
      </c>
      <c r="M123" s="2" t="inlineStr">
        <is>
          <t>《设计文档_V2.0》第12；业务约束见《需求分析文档_V2.0》第5—7章</t>
        </is>
      </c>
      <c r="N123" s="2" t="inlineStr">
        <is>
          <t>列举的每个边界/枚举/时刻/浏览器组合均为必测variant；每variant留runId或参数化子结果，全部通过才可将整条标PASS</t>
        </is>
      </c>
    </row>
    <row r="124" ht="72" customHeight="1">
      <c r="A124" s="2" t="inlineStr">
        <is>
          <t>TC-PERF-006</t>
        </is>
      </c>
      <c r="B124" s="2" t="inlineStr">
        <is>
          <t>PERF</t>
        </is>
      </c>
      <c r="C124" s="2" t="inlineStr">
        <is>
          <t>故障降级L5</t>
        </is>
      </c>
      <c r="D124" s="2" t="inlineStr">
        <is>
          <t>P0</t>
        </is>
      </c>
      <c r="E124" s="2" t="inlineStr">
        <is>
          <t>NFR-01,NFR-02,NFR-03,NFR-04,NFR-05</t>
        </is>
      </c>
      <c r="F124" s="2" t="inlineStr">
        <is>
          <t>AC-17</t>
        </is>
      </c>
      <c r="G124" s="2" t="inlineStr">
        <is>
          <t>D11,D13</t>
        </is>
      </c>
      <c r="H124" s="2" t="inlineStr">
        <is>
          <t>按主文档第5章构建独立数据快照；目录/计费异常负载单独轮次</t>
        </is>
      </c>
      <c r="I124" s="2" t="inlineStr">
        <is>
          <t>隔离故障轮次，不混正常达标；报告错误与恢复积压</t>
        </is>
      </c>
      <c r="J124" s="2" t="inlineStr">
        <is>
          <t>构建/环境/数据版本、请求与traceId、前后数据库一致性快照；并发附屏障时间线，故障附注入与恢复日志</t>
        </is>
      </c>
      <c r="K124" s="2" t="inlineStr">
        <is>
          <t>自动化+人工核验</t>
        </is>
      </c>
      <c r="L124" s="2" t="inlineStr">
        <is>
          <t>R1/R2</t>
        </is>
      </c>
      <c r="M124" s="2" t="inlineStr">
        <is>
          <t>《设计文档_V2.0》第12；业务约束见《需求分析文档_V2.0》第5—7章</t>
        </is>
      </c>
      <c r="N124" s="2" t="inlineStr">
        <is>
          <t>列举的每个边界/枚举/时刻/浏览器组合均为必测variant；每variant留runId或参数化子结果，全部通过才可将整条标PASS</t>
        </is>
      </c>
    </row>
    <row r="125" ht="72" customHeight="1">
      <c r="A125" s="2" t="inlineStr">
        <is>
          <t>TC-PERF-007</t>
        </is>
      </c>
      <c r="B125" s="2" t="inlineStr">
        <is>
          <t>PERF</t>
        </is>
      </c>
      <c r="C125" s="2" t="inlineStr">
        <is>
          <t>60分钟稳定L6及目录延迟</t>
        </is>
      </c>
      <c r="D125" s="2" t="inlineStr">
        <is>
          <t>P0</t>
        </is>
      </c>
      <c r="E125" s="2" t="inlineStr">
        <is>
          <t>NFR-01,NFR-02,NFR-03,NFR-04,NFR-05</t>
        </is>
      </c>
      <c r="F125" s="2" t="inlineStr">
        <is>
          <t>AC-17</t>
        </is>
      </c>
      <c r="G125" s="2" t="inlineStr">
        <is>
          <t>D11,D13</t>
        </is>
      </c>
      <c r="H125" s="2" t="inlineStr">
        <is>
          <t>按主文档第5章构建独立数据快照；持续代表负载60分钟；采集目录调用耗时</t>
        </is>
      </c>
      <c r="I125" s="2" t="inlineStr">
        <is>
          <t>资源积压无未解释持续增长；目录&lt;=10秒；不能替代7天可用性</t>
        </is>
      </c>
      <c r="J125" s="2" t="inlineStr">
        <is>
          <t>构建/环境/数据版本、请求与traceId、前后数据库一致性快照；并发附屏障时间线，故障附注入与恢复日志</t>
        </is>
      </c>
      <c r="K125" s="2" t="inlineStr">
        <is>
          <t>自动化+人工核验</t>
        </is>
      </c>
      <c r="L125" s="2" t="inlineStr">
        <is>
          <t>R1/R2</t>
        </is>
      </c>
      <c r="M125" s="2" t="inlineStr">
        <is>
          <t>《设计文档_V2.0》第12；业务约束见《需求分析文档_V2.0》第5—7章</t>
        </is>
      </c>
      <c r="N125" s="2" t="inlineStr">
        <is>
          <t>列举的每个边界/枚举/时刻/浏览器组合均为必测variant；每variant留runId或参数化子结果，全部通过才可将整条标PASS</t>
        </is>
      </c>
    </row>
    <row r="126" ht="72" customHeight="1">
      <c r="A126" s="2" t="inlineStr">
        <is>
          <t>TC-PERF-008</t>
        </is>
      </c>
      <c r="B126" s="2" t="inlineStr">
        <is>
          <t>PERF</t>
        </is>
      </c>
      <c r="C126" s="2" t="inlineStr">
        <is>
          <t>关闭500/2000数据规模</t>
        </is>
      </c>
      <c r="D126" s="2" t="inlineStr">
        <is>
          <t>P0</t>
        </is>
      </c>
      <c r="E126" s="2" t="inlineStr">
        <is>
          <t>FR-20,NFR-01,NFR-02,NFR-03,NFR-04,NFR-05</t>
        </is>
      </c>
      <c r="F126" s="2" t="inlineStr">
        <is>
          <t>AC-17</t>
        </is>
      </c>
      <c r="G126" s="2" t="inlineStr">
        <is>
          <t>D11,D13</t>
        </is>
      </c>
      <c r="H126" s="2" t="inlineStr">
        <is>
          <t>按主文档第5章构建独立数据快照；独立合法fixture分别500/2000学生关闭，记录受理本地提交全确认时刻</t>
        </is>
      </c>
      <c r="I126" s="2" t="inlineStr">
        <is>
          <t>最终不变量全量通过；报告锁/SQL/内存/时长；202不当结束，无虚构N秒目标</t>
        </is>
      </c>
      <c r="J126" s="2" t="inlineStr">
        <is>
          <t>构建/环境/数据版本、请求与traceId、前后数据库一致性快照；并发附屏障时间线，故障附注入与恢复日志</t>
        </is>
      </c>
      <c r="K126" s="2" t="inlineStr">
        <is>
          <t>自动化+人工核验</t>
        </is>
      </c>
      <c r="L126" s="2" t="inlineStr">
        <is>
          <t>R1/R2</t>
        </is>
      </c>
      <c r="M126" s="2" t="inlineStr">
        <is>
          <t>《设计文档_V2.0》第12；业务约束见《需求分析文档_V2.0》第5—7章</t>
        </is>
      </c>
      <c r="N126" s="2" t="inlineStr">
        <is>
          <t>列举的每个边界/枚举/时刻/浏览器组合均为必测variant；每variant留runId或参数化子结果，全部通过才可将整条标PASS</t>
        </is>
      </c>
    </row>
    <row r="127" ht="72" customHeight="1">
      <c r="A127" s="2" t="inlineStr">
        <is>
          <t>TC-PERF-009</t>
        </is>
      </c>
      <c r="B127" s="2" t="inlineStr">
        <is>
          <t>PERF</t>
        </is>
      </c>
      <c r="C127" s="2" t="inlineStr">
        <is>
          <t>积压500/2000恢复</t>
        </is>
      </c>
      <c r="D127" s="2" t="inlineStr">
        <is>
          <t>P0</t>
        </is>
      </c>
      <c r="E127" s="2" t="inlineStr">
        <is>
          <t>FR-22,NFR-01,NFR-02,NFR-03,NFR-04,NFR-05</t>
        </is>
      </c>
      <c r="F127" s="2" t="inlineStr">
        <is>
          <t>AC-17</t>
        </is>
      </c>
      <c r="G127" s="2" t="inlineStr">
        <is>
          <t>D11,D13</t>
        </is>
      </c>
      <c r="H127" s="2" t="inlineStr">
        <is>
          <t>按主文档第5章构建独立数据快照；关闭形成任务后隔离远端，再恢复并全量业务键对账</t>
        </is>
      </c>
      <c r="I127" s="2" t="inlineStr">
        <is>
          <t>积压最老年龄与收敛速度可见；无重复外部收费；报告未收敛差异</t>
        </is>
      </c>
      <c r="J127" s="2" t="inlineStr">
        <is>
          <t>构建/环境/数据版本、请求与traceId、前后数据库一致性快照；并发附屏障时间线，故障附注入与恢复日志</t>
        </is>
      </c>
      <c r="K127" s="2" t="inlineStr">
        <is>
          <t>自动化+人工核验</t>
        </is>
      </c>
      <c r="L127" s="2" t="inlineStr">
        <is>
          <t>R1/R2</t>
        </is>
      </c>
      <c r="M127" s="2" t="inlineStr">
        <is>
          <t>《设计文档_V2.0》第12；业务约束见《需求分析文档_V2.0》第5—7章</t>
        </is>
      </c>
      <c r="N127" s="2" t="inlineStr">
        <is>
          <t>列举的每个边界/枚举/时刻/浏览器组合均为必测variant；每variant留runId或参数化子结果，全部通过才可将整条标PASS</t>
        </is>
      </c>
    </row>
    <row r="128" ht="72" customHeight="1">
      <c r="A128" s="2" t="inlineStr">
        <is>
          <t>TC-AVAIL-001</t>
        </is>
      </c>
      <c r="B128" s="2" t="inlineStr">
        <is>
          <t>AVAIL</t>
        </is>
      </c>
      <c r="C128" s="2" t="inlineStr">
        <is>
          <t>连续七天认证业务探测</t>
        </is>
      </c>
      <c r="D128" s="2" t="inlineStr">
        <is>
          <t>P0</t>
        </is>
      </c>
      <c r="E128" s="2" t="inlineStr">
        <is>
          <t>NFR-06</t>
        </is>
      </c>
      <c r="F128" s="2" t="inlineStr"/>
      <c r="G128" s="2" t="inlineStr">
        <is>
          <t>D11</t>
        </is>
      </c>
      <c r="H128" s="2" t="inlineStr">
        <is>
          <t>按主文档第5章构建独立数据快照；每60秒执行含DB的认证探测，记录维护和断点</t>
        </is>
      </c>
      <c r="I128" s="2" t="inlineStr">
        <is>
          <t>含维护；UP/DOWN/UNKNOWN分开；覆盖率100%且下界&gt;=90%才达标</t>
        </is>
      </c>
      <c r="J128" s="2" t="inlineStr">
        <is>
          <t>构建/环境/数据版本、请求与traceId、前后数据库一致性快照；并发附屏障时间线，故障附注入与恢复日志</t>
        </is>
      </c>
      <c r="K128" s="2" t="inlineStr">
        <is>
          <t>自动化+人工核验</t>
        </is>
      </c>
      <c r="L128" s="2" t="inlineStr">
        <is>
          <t>R1/R2</t>
        </is>
      </c>
      <c r="M128" s="2" t="inlineStr">
        <is>
          <t>《设计文档_V2.0》第12.3；业务约束见《需求分析文档_V2.0》第5—7章</t>
        </is>
      </c>
      <c r="N128" s="2" t="inlineStr">
        <is>
          <t>列举的每个边界/枚举/时刻/浏览器组合均为必测variant；每variant留runId或参数化子结果，全部通过才可将整条标PASS</t>
        </is>
      </c>
    </row>
    <row r="129" ht="72" customHeight="1">
      <c r="A129" s="2" t="inlineStr">
        <is>
          <t>TC-AVAIL-002</t>
        </is>
      </c>
      <c r="B129" s="2" t="inlineStr">
        <is>
          <t>AVAIL</t>
        </is>
      </c>
      <c r="C129" s="2" t="inlineStr">
        <is>
          <t>探针故障与计费降级分类</t>
        </is>
      </c>
      <c r="D129" s="2" t="inlineStr">
        <is>
          <t>P0</t>
        </is>
      </c>
      <c r="E129" s="2" t="inlineStr">
        <is>
          <t>NFR-06</t>
        </is>
      </c>
      <c r="F129" s="2" t="inlineStr"/>
      <c r="G129" s="2" t="inlineStr">
        <is>
          <t>D11</t>
        </is>
      </c>
      <c r="H129" s="2" t="inlineStr">
        <is>
          <t>按主文档第5章构建独立数据快照；暂停探针并隔离计费但保持核心可用</t>
        </is>
      </c>
      <c r="I129" s="2" t="inlineStr">
        <is>
          <t>缺失标UNKNOWN；计费标降级；不把缺失或仅health成功算UP</t>
        </is>
      </c>
      <c r="J129" s="2" t="inlineStr">
        <is>
          <t>构建/环境/数据版本、请求与traceId、前后数据库一致性快照；并发附屏障时间线，故障附注入与恢复日志</t>
        </is>
      </c>
      <c r="K129" s="2" t="inlineStr">
        <is>
          <t>自动化+人工核验</t>
        </is>
      </c>
      <c r="L129" s="2" t="inlineStr">
        <is>
          <t>R1/R2</t>
        </is>
      </c>
      <c r="M129" s="2" t="inlineStr">
        <is>
          <t>《设计文档_V2.0》第12.3；业务约束见《需求分析文档_V2.0》第5—7章</t>
        </is>
      </c>
      <c r="N129" s="2" t="inlineStr">
        <is>
          <t>列举的每个边界/枚举/时刻/浏览器组合均为必测variant；每variant留runId或参数化子结果，全部通过才可将整条标PASS</t>
        </is>
      </c>
    </row>
    <row r="130" ht="72" customHeight="1">
      <c r="A130" s="2" t="inlineStr">
        <is>
          <t>TC-API-001</t>
        </is>
      </c>
      <c r="B130" s="2" t="inlineStr">
        <is>
          <t>API</t>
        </is>
      </c>
      <c r="C130" s="2" t="inlineStr">
        <is>
          <t>OpenAPI请求响应结构</t>
        </is>
      </c>
      <c r="D130" s="2" t="inlineStr">
        <is>
          <t>P0</t>
        </is>
      </c>
      <c r="E130" s="2" t="inlineStr">
        <is>
          <t>NFR-09,NFR-11</t>
        </is>
      </c>
      <c r="F130" s="2" t="inlineStr"/>
      <c r="G130" s="2" t="inlineStr">
        <is>
          <t>D01,D14</t>
        </is>
      </c>
      <c r="H130" s="2" t="inlineStr">
        <is>
          <t>按主文档第5章构建独立数据快照；用冻结契约校验正常与错误路径方法及schema</t>
        </is>
      </c>
      <c r="I130" s="2" t="inlineStr">
        <is>
          <t>code/message/data/traceId及字段类型准确；契约缺失BLOCKED</t>
        </is>
      </c>
      <c r="J130" s="2" t="inlineStr">
        <is>
          <t>构建/环境/数据版本、请求与traceId、前后数据库一致性快照；并发附屏障时间线，故障附注入与恢复日志</t>
        </is>
      </c>
      <c r="K130" s="2" t="inlineStr">
        <is>
          <t>自动化+人工核验</t>
        </is>
      </c>
      <c r="L130" s="2" t="inlineStr">
        <is>
          <t>R1组织另一成员交叉复核</t>
        </is>
      </c>
      <c r="M130" s="2" t="inlineStr">
        <is>
          <t>《设计文档_V2.0》第10；业务约束见《需求分析文档_V2.0》第5—7章</t>
        </is>
      </c>
      <c r="N130" s="2" t="inlineStr">
        <is>
          <t>列举的每个边界/枚举/时刻/浏览器组合均为必测variant；每variant留runId或参数化子结果，全部通过才可将整条标PASS</t>
        </is>
      </c>
    </row>
    <row r="131" ht="72" customHeight="1">
      <c r="A131" s="2" t="inlineStr">
        <is>
          <t>TC-API-002</t>
        </is>
      </c>
      <c r="B131" s="2" t="inlineStr">
        <is>
          <t>API</t>
        </is>
      </c>
      <c r="C131" s="2" t="inlineStr">
        <is>
          <t>大ID金额时间精度</t>
        </is>
      </c>
      <c r="D131" s="2" t="inlineStr">
        <is>
          <t>P0</t>
        </is>
      </c>
      <c r="E131" s="2" t="inlineStr">
        <is>
          <t>NFR-09,NFR-11</t>
        </is>
      </c>
      <c r="F131" s="2" t="inlineStr"/>
      <c r="G131" s="2" t="inlineStr">
        <is>
          <t>D01,D14</t>
        </is>
      </c>
      <c r="H131" s="2" t="inlineStr">
        <is>
          <t>按主文档第5章构建独立数据快照；用有效BIGINT大于2^53-1的ID、0.00/1000.00及带偏移时间往返</t>
        </is>
      </c>
      <c r="I131" s="2" t="inlineStr">
        <is>
          <t>ID金额字符串不丢精度；UTC与上海转换一致</t>
        </is>
      </c>
      <c r="J131" s="2" t="inlineStr">
        <is>
          <t>构建/环境/数据版本、请求与traceId、前后数据库一致性快照；并发附屏障时间线，故障附注入与恢复日志</t>
        </is>
      </c>
      <c r="K131" s="2" t="inlineStr">
        <is>
          <t>自动化+人工核验</t>
        </is>
      </c>
      <c r="L131" s="2" t="inlineStr">
        <is>
          <t>R1组织另一成员交叉复核</t>
        </is>
      </c>
      <c r="M131" s="2" t="inlineStr">
        <is>
          <t>《设计文档_V2.0》第10；业务约束见《需求分析文档_V2.0》第5—7章</t>
        </is>
      </c>
      <c r="N131" s="2" t="inlineStr">
        <is>
          <t>列举的每个边界/枚举/时刻/浏览器组合均为必测variant；每variant留runId或参数化子结果，全部通过才可将整条标PASS</t>
        </is>
      </c>
    </row>
    <row r="132" ht="72" customHeight="1">
      <c r="A132" s="2" t="inlineStr">
        <is>
          <t>TC-API-003</t>
        </is>
      </c>
      <c r="B132" s="2" t="inlineStr">
        <is>
          <t>API</t>
        </is>
      </c>
      <c r="C132" s="2" t="inlineStr">
        <is>
          <t>分页和排序白名单</t>
        </is>
      </c>
      <c r="D132" s="2" t="inlineStr">
        <is>
          <t>P0</t>
        </is>
      </c>
      <c r="E132" s="2" t="inlineStr">
        <is>
          <t>FR-04,FR-24,NFR-09,NFR-11</t>
        </is>
      </c>
      <c r="F132" s="2" t="inlineStr">
        <is>
          <t>AC-03,AC-16</t>
        </is>
      </c>
      <c r="G132" s="2" t="inlineStr">
        <is>
          <t>D01,D14</t>
        </is>
      </c>
      <c r="H132" s="2" t="inlineStr">
        <is>
          <t>按主文档第5章构建独立数据快照；page省略/1/2/0/-1；size省略/1/100/101；非法排序</t>
        </is>
      </c>
      <c r="I132" s="2" t="inlineStr">
        <is>
          <t>默认20最大100；非法400；合法分页稳定无额外数据</t>
        </is>
      </c>
      <c r="J132" s="2" t="inlineStr">
        <is>
          <t>构建/环境/数据版本、请求与traceId、前后数据库一致性快照；并发附屏障时间线，故障附注入与恢复日志</t>
        </is>
      </c>
      <c r="K132" s="2" t="inlineStr">
        <is>
          <t>自动化+人工核验</t>
        </is>
      </c>
      <c r="L132" s="2" t="inlineStr">
        <is>
          <t>R1组织另一成员交叉复核</t>
        </is>
      </c>
      <c r="M132" s="2" t="inlineStr">
        <is>
          <t>《设计文档_V2.0》第10；业务约束见《需求分析文档_V2.0》第5—7章</t>
        </is>
      </c>
      <c r="N132" s="2" t="inlineStr">
        <is>
          <t>列举的每个边界/枚举/时刻/浏览器组合均为必测variant；每variant留runId或参数化子结果，全部通过才可将整条标PASS</t>
        </is>
      </c>
    </row>
    <row r="133" ht="72" customHeight="1">
      <c r="A133" s="2" t="inlineStr">
        <is>
          <t>TC-API-004</t>
        </is>
      </c>
      <c r="B133" s="2" t="inlineStr">
        <is>
          <t>API</t>
        </is>
      </c>
      <c r="C133" s="2" t="inlineStr">
        <is>
          <t>成绩批次大小与重复项</t>
        </is>
      </c>
      <c r="D133" s="2" t="inlineStr">
        <is>
          <t>P0</t>
        </is>
      </c>
      <c r="E133" s="2" t="inlineStr">
        <is>
          <t>BR-10,FR-14,NFR-09,NFR-11</t>
        </is>
      </c>
      <c r="F133" s="2" t="inlineStr">
        <is>
          <t>AC-09</t>
        </is>
      </c>
      <c r="G133" s="2" t="inlineStr">
        <is>
          <t>D01,D14</t>
        </is>
      </c>
      <c r="H133" s="2" t="inlineStr">
        <is>
          <t>按主文档第5章构建独立数据快照；正常名单及0/1/10/100/101项、重复enrollmentId</t>
        </is>
      </c>
      <c r="I133" s="2" t="inlineStr">
        <is>
          <t>101和重复拒绝；100上限不放宽10人班或名单授权；全批原子</t>
        </is>
      </c>
      <c r="J133" s="2" t="inlineStr">
        <is>
          <t>构建/环境/数据版本、请求与traceId、前后数据库一致性快照；并发附屏障时间线，故障附注入与恢复日志</t>
        </is>
      </c>
      <c r="K133" s="2" t="inlineStr">
        <is>
          <t>自动化+人工核验</t>
        </is>
      </c>
      <c r="L133" s="2" t="inlineStr">
        <is>
          <t>R1组织另一成员交叉复核</t>
        </is>
      </c>
      <c r="M133" s="2" t="inlineStr">
        <is>
          <t>《设计文档_V2.0》第10；业务约束见《需求分析文档_V2.0》第5—7章</t>
        </is>
      </c>
      <c r="N133" s="2" t="inlineStr">
        <is>
          <t>列举的每个边界/枚举/时刻/浏览器组合均为必测variant；每variant留runId或参数化子结果，全部通过才可将整条标PASS</t>
        </is>
      </c>
    </row>
    <row r="134" ht="72" customHeight="1">
      <c r="A134" s="2" t="inlineStr">
        <is>
          <t>TC-API-005</t>
        </is>
      </c>
      <c r="B134" s="2" t="inlineStr">
        <is>
          <t>API</t>
        </is>
      </c>
      <c r="C134" s="2" t="inlineStr">
        <is>
          <t>204与异步状态契约</t>
        </is>
      </c>
      <c r="D134" s="2" t="inlineStr">
        <is>
          <t>P0</t>
        </is>
      </c>
      <c r="E134" s="2" t="inlineStr">
        <is>
          <t>FR-23,NFR-09,NFR-11</t>
        </is>
      </c>
      <c r="F134" s="2" t="inlineStr">
        <is>
          <t>AC-14,AC-15</t>
        </is>
      </c>
      <c r="G134" s="2" t="inlineStr">
        <is>
          <t>D01,D14</t>
        </is>
      </c>
      <c r="H134" s="2" t="inlineStr">
        <is>
          <t>按主文档第5章构建独立数据快照；删除、重复删除、关闭受理及任务状态查询</t>
        </is>
      </c>
      <c r="I134" s="2" t="inlineStr">
        <is>
          <t>204无体；202仅受理；LOCAL_COMMITTED与COMPLETE明确</t>
        </is>
      </c>
      <c r="J134" s="2" t="inlineStr">
        <is>
          <t>构建/环境/数据版本、请求与traceId、前后数据库一致性快照；并发附屏障时间线，故障附注入与恢复日志</t>
        </is>
      </c>
      <c r="K134" s="2" t="inlineStr">
        <is>
          <t>自动化+人工核验</t>
        </is>
      </c>
      <c r="L134" s="2" t="inlineStr">
        <is>
          <t>R1组织另一成员交叉复核</t>
        </is>
      </c>
      <c r="M134" s="2" t="inlineStr">
        <is>
          <t>《设计文档_V2.0》第10；业务约束见《需求分析文档_V2.0》第5—7章</t>
        </is>
      </c>
      <c r="N134" s="2" t="inlineStr">
        <is>
          <t>列举的每个边界/枚举/时刻/浏览器组合均为必测variant；每variant留runId或参数化子结果，全部通过才可将整条标PASS</t>
        </is>
      </c>
    </row>
    <row r="135" ht="72" customHeight="1">
      <c r="A135" s="2" t="inlineStr">
        <is>
          <t>TC-API-006</t>
        </is>
      </c>
      <c r="B135" s="2" t="inlineStr">
        <is>
          <t>API</t>
        </is>
      </c>
      <c r="C135" s="2" t="inlineStr">
        <is>
          <t>错误码和对象存在性</t>
        </is>
      </c>
      <c r="D135" s="2" t="inlineStr">
        <is>
          <t>P0</t>
        </is>
      </c>
      <c r="E135" s="2" t="inlineStr">
        <is>
          <t>NFR-09,NFR-11</t>
        </is>
      </c>
      <c r="F135" s="2" t="inlineStr"/>
      <c r="G135" s="2" t="inlineStr">
        <is>
          <t>D01,D14</t>
        </is>
      </c>
      <c r="H135" s="2" t="inlineStr">
        <is>
          <t>按主文档第5章构建独立数据快照；已授权不存在、未授权已存在、过期会话及业务条件失败</t>
        </is>
      </c>
      <c r="I135" s="2" t="inlineStr">
        <is>
          <t>按冻结HTTP/code；403不泄露目标；授权范围不存在404</t>
        </is>
      </c>
      <c r="J135" s="2" t="inlineStr">
        <is>
          <t>构建/环境/数据版本、请求与traceId、前后数据库一致性快照；并发附屏障时间线，故障附注入与恢复日志</t>
        </is>
      </c>
      <c r="K135" s="2" t="inlineStr">
        <is>
          <t>自动化+人工核验</t>
        </is>
      </c>
      <c r="L135" s="2" t="inlineStr">
        <is>
          <t>R1组织另一成员交叉复核</t>
        </is>
      </c>
      <c r="M135" s="2" t="inlineStr">
        <is>
          <t>《设计文档_V2.0》第10；业务约束见《需求分析文档_V2.0》第5—7章</t>
        </is>
      </c>
      <c r="N135" s="2" t="inlineStr">
        <is>
          <t>列举的每个边界/枚举/时刻/浏览器组合均为必测variant；每variant留runId或参数化子结果，全部通过才可将整条标PASS</t>
        </is>
      </c>
    </row>
    <row r="136" ht="72" customHeight="1">
      <c r="A136" s="2" t="inlineStr">
        <is>
          <t>TC-API-007</t>
        </is>
      </c>
      <c r="B136" s="2" t="inlineStr">
        <is>
          <t>API</t>
        </is>
      </c>
      <c r="C136" s="2" t="inlineStr">
        <is>
          <t>成功幂等响应trace</t>
        </is>
      </c>
      <c r="D136" s="2" t="inlineStr">
        <is>
          <t>P0</t>
        </is>
      </c>
      <c r="E136" s="2" t="inlineStr">
        <is>
          <t>NFR-09,NFR-11</t>
        </is>
      </c>
      <c r="F136" s="2" t="inlineStr"/>
      <c r="G136" s="2" t="inlineStr">
        <is>
          <t>D01,D14</t>
        </is>
      </c>
      <c r="H136" s="2" t="inlineStr">
        <is>
          <t>按主文档第5章构建独立数据快照；同键同体重放已成功但version已过期请求</t>
        </is>
      </c>
      <c r="I136" s="2" t="inlineStr">
        <is>
          <t>返回原业务data及本次新traceId；先重放再版本验证</t>
        </is>
      </c>
      <c r="J136" s="2" t="inlineStr">
        <is>
          <t>构建/环境/数据版本、请求与traceId、前后数据库一致性快照；并发附屏障时间线，故障附注入与恢复日志</t>
        </is>
      </c>
      <c r="K136" s="2" t="inlineStr">
        <is>
          <t>自动化+人工核验</t>
        </is>
      </c>
      <c r="L136" s="2" t="inlineStr">
        <is>
          <t>R1组织另一成员交叉复核</t>
        </is>
      </c>
      <c r="M136" s="2" t="inlineStr">
        <is>
          <t>《设计文档_V2.0》第10；业务约束见《需求分析文档_V2.0》第5—7章</t>
        </is>
      </c>
      <c r="N136" s="2" t="inlineStr">
        <is>
          <t>列举的每个边界/枚举/时刻/浏览器组合均为必测variant；每variant留runId或参数化子结果，全部通过才可将整条标PASS</t>
        </is>
      </c>
    </row>
    <row r="137" ht="72" customHeight="1">
      <c r="A137" s="2" t="inlineStr">
        <is>
          <t>TC-API-008</t>
        </is>
      </c>
      <c r="B137" s="2" t="inlineStr">
        <is>
          <t>API</t>
        </is>
      </c>
      <c r="C137" s="2" t="inlineStr">
        <is>
          <t>契约破坏性变更检测</t>
        </is>
      </c>
      <c r="D137" s="2" t="inlineStr">
        <is>
          <t>P0</t>
        </is>
      </c>
      <c r="E137" s="2" t="inlineStr">
        <is>
          <t>NFR-09,NFR-11</t>
        </is>
      </c>
      <c r="F137" s="2" t="inlineStr"/>
      <c r="G137" s="2" t="inlineStr">
        <is>
          <t>D01,D14</t>
        </is>
      </c>
      <c r="H137" s="2" t="inlineStr">
        <is>
          <t>按主文档第5章构建独立数据快照；在受控分支删除必需字段或改变ID类型后跑契约校验</t>
        </is>
      </c>
      <c r="I137" s="2" t="inlineStr">
        <is>
          <t>CI阻断未经批准变化；API版本策略落实</t>
        </is>
      </c>
      <c r="J137" s="2" t="inlineStr">
        <is>
          <t>构建/环境/数据版本、请求与traceId、前后数据库一致性快照；并发附屏障时间线，故障附注入与恢复日志</t>
        </is>
      </c>
      <c r="K137" s="2" t="inlineStr">
        <is>
          <t>自动化+人工核验</t>
        </is>
      </c>
      <c r="L137" s="2" t="inlineStr">
        <is>
          <t>R1组织另一成员交叉复核</t>
        </is>
      </c>
      <c r="M137" s="2" t="inlineStr">
        <is>
          <t>《设计文档_V2.0》第10；业务约束见《需求分析文档_V2.0》第5—7章</t>
        </is>
      </c>
      <c r="N137" s="2" t="inlineStr">
        <is>
          <t>列举的每个边界/枚举/时刻/浏览器组合均为必测variant；每variant留runId或参数化子结果，全部通过才可将整条标PASS</t>
        </is>
      </c>
    </row>
    <row r="138" ht="72" customHeight="1">
      <c r="A138" s="2" t="inlineStr">
        <is>
          <t>TC-DB-001</t>
        </is>
      </c>
      <c r="B138" s="2" t="inlineStr">
        <is>
          <t>DB</t>
        </is>
      </c>
      <c r="C138" s="2" t="inlineStr">
        <is>
          <t>课表注册和教师唯一约束</t>
        </is>
      </c>
      <c r="D138" s="2" t="inlineStr">
        <is>
          <t>P0</t>
        </is>
      </c>
      <c r="E138" s="2" t="inlineStr">
        <is>
          <t>BR-12,DATA-01,NFR-07</t>
        </is>
      </c>
      <c r="F138" s="2" t="inlineStr"/>
      <c r="G138" s="2" t="inlineStr">
        <is>
          <t>D01,D05,D07,D09,D12</t>
        </is>
      </c>
      <c r="H138" s="2" t="inlineStr">
        <is>
          <t>按主文档第5章构建独立数据快照；独立库直接插重复schedule/enrollment/assignment</t>
        </is>
      </c>
      <c r="I138" s="2" t="inlineStr">
        <is>
          <t>数据库拒绝且约束名可定位；退课重选和墓碑重建复用记录</t>
        </is>
      </c>
      <c r="J138" s="2" t="inlineStr">
        <is>
          <t>构建/环境/数据版本、请求与traceId、前后数据库一致性快照；并发附屏障时间线，故障附注入与恢复日志</t>
        </is>
      </c>
      <c r="K138" s="2" t="inlineStr">
        <is>
          <t>自动化+人工核验</t>
        </is>
      </c>
      <c r="L138" s="2" t="inlineStr">
        <is>
          <t>R1组织另一成员交叉复核</t>
        </is>
      </c>
      <c r="M138" s="2" t="inlineStr">
        <is>
          <t>《设计文档_V2.0》第5—9；业务约束见《需求分析文档_V2.0》第5—7章</t>
        </is>
      </c>
      <c r="N138" s="2" t="inlineStr">
        <is>
          <t>列举的每个边界/枚举/时刻/浏览器组合均为必测variant；每variant留runId或参数化子结果，全部通过才可将整条标PASS</t>
        </is>
      </c>
    </row>
    <row r="139" ht="72" customHeight="1">
      <c r="A139" s="2" t="inlineStr">
        <is>
          <t>TC-DB-002</t>
        </is>
      </c>
      <c r="B139" s="2" t="inlineStr">
        <is>
          <t>DB</t>
        </is>
      </c>
      <c r="C139" s="2" t="inlineStr">
        <is>
          <t>容量CHECK实际生效</t>
        </is>
      </c>
      <c r="D139" s="2" t="inlineStr">
        <is>
          <t>P0</t>
        </is>
      </c>
      <c r="E139" s="2" t="inlineStr">
        <is>
          <t>BR-02,NFR-07</t>
        </is>
      </c>
      <c r="F139" s="2" t="inlineStr"/>
      <c r="G139" s="2" t="inlineStr">
        <is>
          <t>D01,D05,D07,D09,D12</t>
        </is>
      </c>
      <c r="H139" s="2" t="inlineStr">
        <is>
          <t>按主文档第5章构建独立数据快照；直接插capacity9/11、count-1/11及合法边界0/10</t>
        </is>
      </c>
      <c r="I139" s="2" t="inlineStr">
        <is>
          <t>非法拒绝；合法边界接受；CHECK不是仅DDL文字</t>
        </is>
      </c>
      <c r="J139" s="2" t="inlineStr">
        <is>
          <t>构建/环境/数据版本、请求与traceId、前后数据库一致性快照；并发附屏障时间线，故障附注入与恢复日志</t>
        </is>
      </c>
      <c r="K139" s="2" t="inlineStr">
        <is>
          <t>自动化+人工核验</t>
        </is>
      </c>
      <c r="L139" s="2" t="inlineStr">
        <is>
          <t>R1组织另一成员交叉复核</t>
        </is>
      </c>
      <c r="M139" s="2" t="inlineStr">
        <is>
          <t>《设计文档_V2.0》第5—9；业务约束见《需求分析文档_V2.0》第5—7章</t>
        </is>
      </c>
      <c r="N139" s="2" t="inlineStr">
        <is>
          <t>列举的每个边界/枚举/时刻/浏览器组合均为必测variant；每variant留runId或参数化子结果，全部通过才可将整条标PASS</t>
        </is>
      </c>
    </row>
    <row r="140" ht="72" customHeight="1">
      <c r="A140" s="2" t="inlineStr">
        <is>
          <t>TC-DB-003</t>
        </is>
      </c>
      <c r="B140" s="2" t="inlineStr">
        <is>
          <t>DB</t>
        </is>
      </c>
      <c r="C140" s="2" t="inlineStr">
        <is>
          <t>成绩状态及NOT NULL</t>
        </is>
      </c>
      <c r="D140" s="2" t="inlineStr">
        <is>
          <t>P0</t>
        </is>
      </c>
      <c r="E140" s="2" t="inlineStr">
        <is>
          <t>NFR-07</t>
        </is>
      </c>
      <c r="F140" s="2" t="inlineStr"/>
      <c r="G140" s="2" t="inlineStr">
        <is>
          <t>D01,D05,D07,D09,D12</t>
        </is>
      </c>
      <c r="H140" s="2" t="inlineStr">
        <is>
          <t>按主文档第5章构建独立数据快照；直接写gradeE/null、非法account角色状态、关键字段null</t>
        </is>
      </c>
      <c r="I140" s="2" t="inlineStr">
        <is>
          <t>E和非法枚举拒绝；DB允许null成绩不授API清空权限；必需字段非空</t>
        </is>
      </c>
      <c r="J140" s="2" t="inlineStr">
        <is>
          <t>构建/环境/数据版本、请求与traceId、前后数据库一致性快照；并发附屏障时间线，故障附注入与恢复日志</t>
        </is>
      </c>
      <c r="K140" s="2" t="inlineStr">
        <is>
          <t>自动化+人工核验</t>
        </is>
      </c>
      <c r="L140" s="2" t="inlineStr">
        <is>
          <t>R1组织另一成员交叉复核</t>
        </is>
      </c>
      <c r="M140" s="2" t="inlineStr">
        <is>
          <t>《设计文档_V2.0》第5—9；业务约束见《需求分析文档_V2.0》第5—7章</t>
        </is>
      </c>
      <c r="N140" s="2" t="inlineStr">
        <is>
          <t>列举的每个边界/枚举/时刻/浏览器组合均为必测variant；每variant留runId或参数化子结果，全部通过才可将整条标PASS</t>
        </is>
      </c>
    </row>
    <row r="141" ht="72" customHeight="1">
      <c r="A141" s="2" t="inlineStr">
        <is>
          <t>TC-DB-004</t>
        </is>
      </c>
      <c r="B141" s="2" t="inlineStr">
        <is>
          <t>DB</t>
        </is>
      </c>
      <c r="C141" s="2" t="inlineStr">
        <is>
          <t>外键与删除历史策略</t>
        </is>
      </c>
      <c r="D141" s="2" t="inlineStr">
        <is>
          <t>P0</t>
        </is>
      </c>
      <c r="E141" s="2" t="inlineStr">
        <is>
          <t>DATA-01,DATA-03,NFR-07</t>
        </is>
      </c>
      <c r="F141" s="2" t="inlineStr"/>
      <c r="G141" s="2" t="inlineStr">
        <is>
          <t>D01,D05,D07,D09,D12</t>
        </is>
      </c>
      <c r="H141" s="2" t="inlineStr">
        <is>
          <t>按主文档第5章构建独立数据快照；写孤儿grade/enrollment；查DDL级联；受控事务尝试删被引用人员</t>
        </is>
      </c>
      <c r="I141" s="2" t="inlineStr">
        <is>
          <t>FK阻止孤儿；无级联毁历史；业务逻辑删除保留引用</t>
        </is>
      </c>
      <c r="J141" s="2" t="inlineStr">
        <is>
          <t>构建/环境/数据版本、请求与traceId、前后数据库一致性快照；并发附屏障时间线，故障附注入与恢复日志</t>
        </is>
      </c>
      <c r="K141" s="2" t="inlineStr">
        <is>
          <t>自动化+人工核验</t>
        </is>
      </c>
      <c r="L141" s="2" t="inlineStr">
        <is>
          <t>R1组织另一成员交叉复核</t>
        </is>
      </c>
      <c r="M141" s="2" t="inlineStr">
        <is>
          <t>《设计文档_V2.0》第5—9；业务约束见《需求分析文档_V2.0》第5—7章</t>
        </is>
      </c>
      <c r="N141" s="2" t="inlineStr">
        <is>
          <t>列举的每个边界/枚举/时刻/浏览器组合均为必测variant；每variant留runId或参数化子结果，全部通过才可将整条标PASS</t>
        </is>
      </c>
    </row>
    <row r="142" ht="72" customHeight="1">
      <c r="A142" s="2" t="inlineStr">
        <is>
          <t>TC-DB-005</t>
        </is>
      </c>
      <c r="B142" s="2" t="inlineStr">
        <is>
          <t>DB</t>
        </is>
      </c>
      <c r="C142" s="2" t="inlineStr">
        <is>
          <t>计费及outbox唯一约束</t>
        </is>
      </c>
      <c r="D142" s="2" t="inlineStr">
        <is>
          <t>P0</t>
        </is>
      </c>
      <c r="E142" s="2" t="inlineStr">
        <is>
          <t>BR-16,DATA-01,NFR-07</t>
        </is>
      </c>
      <c r="F142" s="2" t="inlineStr"/>
      <c r="G142" s="2" t="inlineStr">
        <is>
          <t>D01,D05,D07,D09,D12</t>
        </is>
      </c>
      <c r="H142" s="2" t="inlineStr">
        <is>
          <t>按主文档第5章构建独立数据快照；直接写重复学生学期业务键、重复账单outbox</t>
        </is>
      </c>
      <c r="I142" s="2" t="inlineStr">
        <is>
          <t>唯一约束阻止重复业务；不靠短期内存去重</t>
        </is>
      </c>
      <c r="J142" s="2" t="inlineStr">
        <is>
          <t>构建/环境/数据版本、请求与traceId、前后数据库一致性快照；并发附屏障时间线，故障附注入与恢复日志</t>
        </is>
      </c>
      <c r="K142" s="2" t="inlineStr">
        <is>
          <t>自动化+人工核验</t>
        </is>
      </c>
      <c r="L142" s="2" t="inlineStr">
        <is>
          <t>R1组织另一成员交叉复核</t>
        </is>
      </c>
      <c r="M142" s="2" t="inlineStr">
        <is>
          <t>《设计文档_V2.0》第5—9；业务约束见《需求分析文档_V2.0》第5—7章</t>
        </is>
      </c>
      <c r="N142" s="2" t="inlineStr">
        <is>
          <t>列举的每个边界/枚举/时刻/浏览器组合均为必测variant；每variant留runId或参数化子结果，全部通过才可将整条标PASS</t>
        </is>
      </c>
    </row>
    <row r="143" ht="72" customHeight="1">
      <c r="A143" s="2" t="inlineStr">
        <is>
          <t>TC-DB-006</t>
        </is>
      </c>
      <c r="B143" s="2" t="inlineStr">
        <is>
          <t>DB</t>
        </is>
      </c>
      <c r="C143" s="2" t="inlineStr">
        <is>
          <t>上下文与目录先修准备校验</t>
        </is>
      </c>
      <c r="D143" s="2" t="inlineStr">
        <is>
          <t>P0</t>
        </is>
      </c>
      <c r="E143" s="2" t="inlineStr">
        <is>
          <t>DATA-05,FR-21,NFR-07</t>
        </is>
      </c>
      <c r="F143" s="2" t="inlineStr">
        <is>
          <t>AC-03</t>
        </is>
      </c>
      <c r="G143" s="2" t="inlineStr">
        <is>
          <t>D01,D05,D07,D09,D12</t>
        </is>
      </c>
      <c r="H143" s="2" t="inlineStr">
        <is>
          <t>按主文档第5章构建独立数据快照；第二academic_context或id非1；目录缺引用自环和多节点环</t>
        </is>
      </c>
      <c r="I143" s="2" t="inlineStr">
        <is>
          <t>单行FK有效；目录跨行规则在准备阶段拒绝并定位</t>
        </is>
      </c>
      <c r="J143" s="2" t="inlineStr">
        <is>
          <t>构建/环境/数据版本、请求与traceId、前后数据库一致性快照；并发附屏障时间线，故障附注入与恢复日志</t>
        </is>
      </c>
      <c r="K143" s="2" t="inlineStr">
        <is>
          <t>自动化+人工核验</t>
        </is>
      </c>
      <c r="L143" s="2" t="inlineStr">
        <is>
          <t>R1组织另一成员交叉复核</t>
        </is>
      </c>
      <c r="M143" s="2" t="inlineStr">
        <is>
          <t>《设计文档_V2.0》第5—9；业务约束见《需求分析文档_V2.0》第5—7章</t>
        </is>
      </c>
      <c r="N143" s="2" t="inlineStr">
        <is>
          <t>列举的每个边界/枚举/时刻/浏览器组合均为必测variant；每variant留runId或参数化子结果，全部通过才可将整条标PASS</t>
        </is>
      </c>
    </row>
    <row r="144" ht="72" customHeight="1">
      <c r="A144" s="2" t="inlineStr">
        <is>
          <t>TC-DB-007</t>
        </is>
      </c>
      <c r="B144" s="2" t="inlineStr">
        <is>
          <t>DB</t>
        </is>
      </c>
      <c r="C144" s="2" t="inlineStr">
        <is>
          <t>退旧后加新前失败</t>
        </is>
      </c>
      <c r="D144" s="2" t="inlineStr">
        <is>
          <t>P0</t>
        </is>
      </c>
      <c r="E144" s="2" t="inlineStr">
        <is>
          <t>FR-07,FR-08,NFR-07</t>
        </is>
      </c>
      <c r="F144" s="2" t="inlineStr">
        <is>
          <t>AC-05,AC-06,AC-07</t>
        </is>
      </c>
      <c r="G144" s="2" t="inlineStr">
        <is>
          <t>D01,D05,D07,D09,D12</t>
        </is>
      </c>
      <c r="H144" s="2" t="inlineStr">
        <is>
          <t>按主文档第5章构建独立数据快照；正式4门后原子替换，在撤销旧ACTIVE后抛异常</t>
        </is>
      </c>
      <c r="I144" s="2" t="inlineStr">
        <is>
          <t>旧注册/人数/正式快照/version全部回滚；可正常重试</t>
        </is>
      </c>
      <c r="J144" s="2" t="inlineStr">
        <is>
          <t>构建/环境/数据版本、请求与traceId、前后数据库一致性快照；并发附屏障时间线，故障附注入与恢复日志</t>
        </is>
      </c>
      <c r="K144" s="2" t="inlineStr">
        <is>
          <t>自动化+人工核验</t>
        </is>
      </c>
      <c r="L144" s="2" t="inlineStr">
        <is>
          <t>R1组织另一成员交叉复核</t>
        </is>
      </c>
      <c r="M144" s="2" t="inlineStr">
        <is>
          <t>《设计文档_V2.0》第5—9；业务约束见《需求分析文档_V2.0》第5—7章</t>
        </is>
      </c>
      <c r="N144" s="2" t="inlineStr">
        <is>
          <t>列举的每个边界/枚举/时刻/浏览器组合均为必测variant；每variant留runId或参数化子结果，全部通过才可将整条标PASS</t>
        </is>
      </c>
    </row>
    <row r="145" ht="72" customHeight="1">
      <c r="A145" s="2" t="inlineStr">
        <is>
          <t>TC-DB-008</t>
        </is>
      </c>
      <c r="B145" s="2" t="inlineStr">
        <is>
          <t>DB</t>
        </is>
      </c>
      <c r="C145" s="2" t="inlineStr">
        <is>
          <t>占位后课表更新前失败</t>
        </is>
      </c>
      <c r="D145" s="2" t="inlineStr">
        <is>
          <t>P0</t>
        </is>
      </c>
      <c r="E145" s="2" t="inlineStr">
        <is>
          <t>BR-14,FR-07,NFR-07</t>
        </is>
      </c>
      <c r="F145" s="2" t="inlineStr">
        <is>
          <t>AC-05,AC-06</t>
        </is>
      </c>
      <c r="G145" s="2" t="inlineStr">
        <is>
          <t>D01,D05,D07,D09,D12</t>
        </is>
      </c>
      <c r="H145" s="2" t="inlineStr">
        <is>
          <t>按主文档第5章构建独立数据快照；新增ACTIVE和count后schedule写前抛异常</t>
        </is>
      </c>
      <c r="I145" s="2" t="inlineStr">
        <is>
          <t>名额无泄漏、无孤儿；成功幂等结果不残留</t>
        </is>
      </c>
      <c r="J145" s="2" t="inlineStr">
        <is>
          <t>构建/环境/数据版本、请求与traceId、前后数据库一致性快照；并发附屏障时间线，故障附注入与恢复日志</t>
        </is>
      </c>
      <c r="K145" s="2" t="inlineStr">
        <is>
          <t>自动化+人工核验</t>
        </is>
      </c>
      <c r="L145" s="2" t="inlineStr">
        <is>
          <t>R1组织另一成员交叉复核</t>
        </is>
      </c>
      <c r="M145" s="2" t="inlineStr">
        <is>
          <t>《设计文档_V2.0》第5—9；业务约束见《需求分析文档_V2.0》第5—7章</t>
        </is>
      </c>
      <c r="N145" s="2" t="inlineStr">
        <is>
          <t>列举的每个边界/枚举/时刻/浏览器组合均为必测variant；每variant留runId或参数化子结果，全部通过才可将整条标PASS</t>
        </is>
      </c>
    </row>
    <row r="146" ht="72" customHeight="1">
      <c r="A146" s="2" t="inlineStr">
        <is>
          <t>TC-DB-009</t>
        </is>
      </c>
      <c r="B146" s="2" t="inlineStr">
        <is>
          <t>DB</t>
        </is>
      </c>
      <c r="C146" s="2" t="inlineStr">
        <is>
          <t>成绩首项写后失败</t>
        </is>
      </c>
      <c r="D146" s="2" t="inlineStr">
        <is>
          <t>P0</t>
        </is>
      </c>
      <c r="E146" s="2" t="inlineStr">
        <is>
          <t>BR-10,FR-14,NFR-07</t>
        </is>
      </c>
      <c r="F146" s="2" t="inlineStr">
        <is>
          <t>AC-09</t>
        </is>
      </c>
      <c r="G146" s="2" t="inlineStr">
        <is>
          <t>D01,D05,D07,D09,D12</t>
        </is>
      </c>
      <c r="H146" s="2" t="inlineStr">
        <is>
          <t>按主文档第5章构建独立数据快照；合法整批成绩，在第一项更新后抛异常</t>
        </is>
      </c>
      <c r="I146" s="2" t="inlineStr">
        <is>
          <t>所有成绩和version回旧值；无部分成功或成功审计</t>
        </is>
      </c>
      <c r="J146" s="2" t="inlineStr">
        <is>
          <t>构建/环境/数据版本、请求与traceId、前后数据库一致性快照；并发附屏障时间线，故障附注入与恢复日志</t>
        </is>
      </c>
      <c r="K146" s="2" t="inlineStr">
        <is>
          <t>自动化+人工核验</t>
        </is>
      </c>
      <c r="L146" s="2" t="inlineStr">
        <is>
          <t>R1组织另一成员交叉复核</t>
        </is>
      </c>
      <c r="M146" s="2" t="inlineStr">
        <is>
          <t>《设计文档_V2.0》第5—9；业务约束见《需求分析文档_V2.0》第5—7章</t>
        </is>
      </c>
      <c r="N146" s="2" t="inlineStr">
        <is>
          <t>列举的每个边界/枚举/时刻/浏览器组合均为必测variant；每variant留runId或参数化子结果，全部通过才可将整条标PASS</t>
        </is>
      </c>
    </row>
    <row r="147" ht="72" customHeight="1">
      <c r="A147" s="2" t="inlineStr">
        <is>
          <t>TC-DB-010</t>
        </is>
      </c>
      <c r="B147" s="2" t="inlineStr">
        <is>
          <t>DB</t>
        </is>
      </c>
      <c r="C147" s="2" t="inlineStr">
        <is>
          <t>巡检差异检测</t>
        </is>
      </c>
      <c r="D147" s="2" t="inlineStr">
        <is>
          <t>P0</t>
        </is>
      </c>
      <c r="E147" s="2" t="inlineStr">
        <is>
          <t>DATA-02,NFR-07</t>
        </is>
      </c>
      <c r="F147" s="2" t="inlineStr"/>
      <c r="G147" s="2" t="inlineStr">
        <is>
          <t>D01,D05,D07,D09,D12</t>
        </is>
      </c>
      <c r="H147" s="2" t="inlineStr">
        <is>
          <t>按主文档第5章构建独立数据快照；独立副本故意绕应用改count，再运行只读巡检</t>
        </is>
      </c>
      <c r="I147" s="2" t="inlineStr">
        <is>
          <t>能定位差异并报缺陷；不得自动修正来通过断言</t>
        </is>
      </c>
      <c r="J147" s="2" t="inlineStr">
        <is>
          <t>构建/环境/数据版本、请求与traceId、前后数据库一致性快照；并发附屏障时间线，故障附注入与恢复日志</t>
        </is>
      </c>
      <c r="K147" s="2" t="inlineStr">
        <is>
          <t>自动化+人工核验</t>
        </is>
      </c>
      <c r="L147" s="2" t="inlineStr">
        <is>
          <t>R1组织另一成员交叉复核</t>
        </is>
      </c>
      <c r="M147" s="2" t="inlineStr">
        <is>
          <t>《设计文档_V2.0》第5—9；业务约束见《需求分析文档_V2.0》第5—7章</t>
        </is>
      </c>
      <c r="N147" s="2" t="inlineStr">
        <is>
          <t>列举的每个边界/枚举/时刻/浏览器组合均为必测variant；每variant留runId或参数化子结果，全部通过才可将整条标PASS</t>
        </is>
      </c>
    </row>
    <row r="148" ht="72" customHeight="1">
      <c r="A148" s="2" t="inlineStr">
        <is>
          <t>TC-PRIV-001</t>
        </is>
      </c>
      <c r="B148" s="2" t="inlineStr">
        <is>
          <t>PRIV</t>
        </is>
      </c>
      <c r="C148" s="2" t="inlineStr">
        <is>
          <t>SSN最小展示和管理员成绩边界</t>
        </is>
      </c>
      <c r="D148" s="2" t="inlineStr">
        <is>
          <t>P0</t>
        </is>
      </c>
      <c r="E148" s="2" t="inlineStr">
        <is>
          <t>DATA-04,FR-15,NFR-09,SEC-01</t>
        </is>
      </c>
      <c r="F148" s="2" t="inlineStr">
        <is>
          <t>AC-02</t>
        </is>
      </c>
      <c r="G148" s="2" t="inlineStr">
        <is>
          <t>D10,D14</t>
        </is>
      </c>
      <c r="H148" s="2" t="inlineStr">
        <is>
          <t>按主文档第5章构建独立数据快照；三角色读列表/详情/me和成绩接口</t>
        </is>
      </c>
      <c r="I148" s="2" t="inlineStr">
        <is>
          <t>列表脱敏；完整SSN仅必要管理员详情；管理员不能读写成绩</t>
        </is>
      </c>
      <c r="J148" s="2" t="inlineStr">
        <is>
          <t>构建/环境/数据版本、请求与traceId、前后数据库一致性快照；并发附屏障时间线，故障附注入与恢复日志</t>
        </is>
      </c>
      <c r="K148" s="2" t="inlineStr">
        <is>
          <t>自动化+人工核验</t>
        </is>
      </c>
      <c r="L148" s="2" t="inlineStr">
        <is>
          <t>R3/R5</t>
        </is>
      </c>
      <c r="M148" s="2" t="inlineStr">
        <is>
          <t>《设计文档_V2.0》第11；业务约束见《需求分析文档_V2.0》第5—7章</t>
        </is>
      </c>
      <c r="N148" s="2" t="inlineStr">
        <is>
          <t>列举的每个边界/枚举/时刻/浏览器组合均为必测variant；每variant留runId或参数化子结果，全部通过才可将整条标PASS</t>
        </is>
      </c>
    </row>
    <row r="149" ht="72" customHeight="1">
      <c r="A149" s="2" t="inlineStr">
        <is>
          <t>TC-PRIV-002</t>
        </is>
      </c>
      <c r="B149" s="2" t="inlineStr">
        <is>
          <t>PRIV</t>
        </is>
      </c>
      <c r="C149" s="2" t="inlineStr">
        <is>
          <t>临时凭据响应丢失</t>
        </is>
      </c>
      <c r="D149" s="2" t="inlineStr">
        <is>
          <t>P0</t>
        </is>
      </c>
      <c r="E149" s="2" t="inlineStr">
        <is>
          <t>NFR-09</t>
        </is>
      </c>
      <c r="F149" s="2" t="inlineStr">
        <is>
          <t>AC-02</t>
        </is>
      </c>
      <c r="G149" s="2" t="inlineStr">
        <is>
          <t>D10,D14</t>
        </is>
      </c>
      <c r="H149" s="2" t="inlineStr">
        <is>
          <t>按主文档第5章构建独立数据快照；新增成功丢响应后同key重放、GET及管理员重置</t>
        </is>
      </c>
      <c r="I149" s="2" t="inlineStr">
        <is>
          <t>人员账号各1；无临时密码明文复读；受控重置恢复交付</t>
        </is>
      </c>
      <c r="J149" s="2" t="inlineStr">
        <is>
          <t>构建/环境/数据版本、请求与traceId、前后数据库一致性快照；并发附屏障时间线，故障附注入与恢复日志</t>
        </is>
      </c>
      <c r="K149" s="2" t="inlineStr">
        <is>
          <t>自动化+人工核验</t>
        </is>
      </c>
      <c r="L149" s="2" t="inlineStr">
        <is>
          <t>R3/R5</t>
        </is>
      </c>
      <c r="M149" s="2" t="inlineStr">
        <is>
          <t>《设计文档_V2.0》第11；业务约束见《需求分析文档_V2.0》第5—7章</t>
        </is>
      </c>
      <c r="N149" s="2" t="inlineStr">
        <is>
          <t>列举的每个边界/枚举/时刻/浏览器组合均为必测variant；每variant留runId或参数化子结果，全部通过才可将整条标PASS</t>
        </is>
      </c>
    </row>
    <row r="150" ht="72" customHeight="1">
      <c r="A150" s="2" t="inlineStr">
        <is>
          <t>TC-PRIV-003</t>
        </is>
      </c>
      <c r="B150" s="2" t="inlineStr">
        <is>
          <t>PRIV</t>
        </is>
      </c>
      <c r="C150" s="2" t="inlineStr">
        <is>
          <t>日志审计去重秘密检查</t>
        </is>
      </c>
      <c r="D150" s="2" t="inlineStr">
        <is>
          <t>P0</t>
        </is>
      </c>
      <c r="E150" s="2" t="inlineStr">
        <is>
          <t>DATA-04,NFR-09</t>
        </is>
      </c>
      <c r="F150" s="2" t="inlineStr">
        <is>
          <t>AC-02</t>
        </is>
      </c>
      <c r="G150" s="2" t="inlineStr">
        <is>
          <t>D10,D14</t>
        </is>
      </c>
      <c r="H150" s="2" t="inlineStr">
        <is>
          <t>按主文档第5章构建独立数据快照；登录创建重置与错误场景后查日志审计trace/request_dedup</t>
        </is>
      </c>
      <c r="I150" s="2" t="inlineStr">
        <is>
          <t>无密码CookieToken完整SSN；password_hash不在普通DTO</t>
        </is>
      </c>
      <c r="J150" s="2" t="inlineStr">
        <is>
          <t>构建/环境/数据版本、请求与traceId、前后数据库一致性快照；并发附屏障时间线，故障附注入与恢复日志</t>
        </is>
      </c>
      <c r="K150" s="2" t="inlineStr">
        <is>
          <t>自动化+人工核验</t>
        </is>
      </c>
      <c r="L150" s="2" t="inlineStr">
        <is>
          <t>R3/R5</t>
        </is>
      </c>
      <c r="M150" s="2" t="inlineStr">
        <is>
          <t>《设计文档_V2.0》第11；业务约束见《需求分析文档_V2.0》第5—7章</t>
        </is>
      </c>
      <c r="N150" s="2" t="inlineStr">
        <is>
          <t>列举的每个边界/枚举/时刻/浏览器组合均为必测variant；每variant留runId或参数化子结果，全部通过才可将整条标PASS</t>
        </is>
      </c>
    </row>
    <row r="151" ht="72" customHeight="1">
      <c r="A151" s="2" t="inlineStr">
        <is>
          <t>TC-PRIV-004</t>
        </is>
      </c>
      <c r="B151" s="2" t="inlineStr">
        <is>
          <t>PRIV</t>
        </is>
      </c>
      <c r="C151" s="2" t="inlineStr">
        <is>
          <t>角色和owner批量赋权</t>
        </is>
      </c>
      <c r="D151" s="2" t="inlineStr">
        <is>
          <t>P0</t>
        </is>
      </c>
      <c r="E151" s="2" t="inlineStr">
        <is>
          <t>NFR-09,SEC-02</t>
        </is>
      </c>
      <c r="F151" s="2" t="inlineStr">
        <is>
          <t>AC-02</t>
        </is>
      </c>
      <c r="G151" s="2" t="inlineStr">
        <is>
          <t>D10,D14</t>
        </is>
      </c>
      <c r="H151" s="2" t="inlineStr">
        <is>
          <t>按主文档第5章构建独立数据快照；向正常写接口加role=REGISTRAR或他人owner</t>
        </is>
      </c>
      <c r="I151" s="2" t="inlineStr">
        <is>
          <t>按schema拒绝或忽略；不能提升角色或改归属；数据不变</t>
        </is>
      </c>
      <c r="J151" s="2" t="inlineStr">
        <is>
          <t>构建/环境/数据版本、请求与traceId、前后数据库一致性快照；并发附屏障时间线，故障附注入与恢复日志</t>
        </is>
      </c>
      <c r="K151" s="2" t="inlineStr">
        <is>
          <t>自动化+人工核验</t>
        </is>
      </c>
      <c r="L151" s="2" t="inlineStr">
        <is>
          <t>R3/R5</t>
        </is>
      </c>
      <c r="M151" s="2" t="inlineStr">
        <is>
          <t>《设计文档_V2.0》第11；业务约束见《需求分析文档_V2.0》第5—7章</t>
        </is>
      </c>
      <c r="N151" s="2" t="inlineStr">
        <is>
          <t>列举的每个边界/枚举/时刻/浏览器组合均为必测variant；每variant留runId或参数化子结果，全部通过才可将整条标PASS</t>
        </is>
      </c>
    </row>
    <row r="152" ht="72" customHeight="1">
      <c r="A152" s="2" t="inlineStr">
        <is>
          <t>TC-PRIV-005</t>
        </is>
      </c>
      <c r="B152" s="2" t="inlineStr">
        <is>
          <t>PRIV</t>
        </is>
      </c>
      <c r="C152" s="2" t="inlineStr">
        <is>
          <t>同浏览器切换用户缓存</t>
        </is>
      </c>
      <c r="D152" s="2" t="inlineStr">
        <is>
          <t>P0</t>
        </is>
      </c>
      <c r="E152" s="2" t="inlineStr">
        <is>
          <t>NFR-09</t>
        </is>
      </c>
      <c r="F152" s="2" t="inlineStr">
        <is>
          <t>AC-02</t>
        </is>
      </c>
      <c r="G152" s="2" t="inlineStr">
        <is>
          <t>D10,D14</t>
        </is>
      </c>
      <c r="H152" s="2" t="inlineStr">
        <is>
          <t>按主文档第5章构建独立数据快照；S1读课表成绩退出，S2登录并后退查看</t>
        </is>
      </c>
      <c r="I152" s="2" t="inlineStr">
        <is>
          <t>Pinia路由和缓存清理；S2不可见S1数据；重交互需鉴权</t>
        </is>
      </c>
      <c r="J152" s="2" t="inlineStr">
        <is>
          <t>构建/环境/数据版本、请求与traceId、前后数据库一致性快照；并发附屏障时间线，故障附注入与恢复日志</t>
        </is>
      </c>
      <c r="K152" s="2" t="inlineStr">
        <is>
          <t>自动化+人工核验</t>
        </is>
      </c>
      <c r="L152" s="2" t="inlineStr">
        <is>
          <t>R3/R5</t>
        </is>
      </c>
      <c r="M152" s="2" t="inlineStr">
        <is>
          <t>《设计文档_V2.0》第11；业务约束见《需求分析文档_V2.0》第5—7章</t>
        </is>
      </c>
      <c r="N152" s="2" t="inlineStr">
        <is>
          <t>列举的每个边界/枚举/时刻/浏览器组合均为必测variant；每variant留runId或参数化子结果，全部通过才可将整条标PASS</t>
        </is>
      </c>
    </row>
    <row r="153" ht="72" customHeight="1">
      <c r="A153" s="2" t="inlineStr">
        <is>
          <t>TC-COMP-001</t>
        </is>
      </c>
      <c r="B153" s="2" t="inlineStr">
        <is>
          <t>COMP</t>
        </is>
      </c>
      <c r="C153" s="2" t="inlineStr">
        <is>
          <t>Chrome 1920x1080</t>
        </is>
      </c>
      <c r="D153" s="2" t="inlineStr">
        <is>
          <t>P1</t>
        </is>
      </c>
      <c r="E153" s="2" t="inlineStr">
        <is>
          <t>NFR-12</t>
        </is>
      </c>
      <c r="F153" s="2" t="inlineStr">
        <is>
          <t>AC-16</t>
        </is>
      </c>
      <c r="G153" s="2" t="inlineStr">
        <is>
          <t>D01,D06,D08,D09</t>
        </is>
      </c>
      <c r="H153" s="2" t="inlineStr">
        <is>
          <t>按主文档第5章构建独立数据快照；记录精确Chrome版本缩放，1920x1080跑三角色关键链路</t>
        </is>
      </c>
      <c r="I153" s="2" t="inlineStr">
        <is>
          <t>核心控件可见可操作；前后端业务状态一致</t>
        </is>
      </c>
      <c r="J153" s="2" t="inlineStr">
        <is>
          <t>构建/环境/数据版本、请求与traceId、前后数据库一致性快照；并发附屏障时间线，故障附注入与恢复日志</t>
        </is>
      </c>
      <c r="K153" s="2" t="inlineStr">
        <is>
          <t>自动化+人工核验</t>
        </is>
      </c>
      <c r="L153" s="2" t="inlineStr">
        <is>
          <t>R1组织另一成员交叉复核</t>
        </is>
      </c>
      <c r="M153" s="2" t="inlineStr">
        <is>
          <t>《设计文档_V2.0》第4、12；业务约束见《需求分析文档_V2.0》第5—7章</t>
        </is>
      </c>
      <c r="N153" s="2" t="inlineStr">
        <is>
          <t>列举的每个边界/枚举/时刻/浏览器组合均为必测variant；每variant留runId或参数化子结果，全部通过才可将整条标PASS</t>
        </is>
      </c>
    </row>
    <row r="154" ht="72" customHeight="1">
      <c r="A154" s="2" t="inlineStr">
        <is>
          <t>TC-COMP-002</t>
        </is>
      </c>
      <c r="B154" s="2" t="inlineStr">
        <is>
          <t>COMP</t>
        </is>
      </c>
      <c r="C154" s="2" t="inlineStr">
        <is>
          <t>Chrome 1366x768</t>
        </is>
      </c>
      <c r="D154" s="2" t="inlineStr">
        <is>
          <t>P1</t>
        </is>
      </c>
      <c r="E154" s="2" t="inlineStr">
        <is>
          <t>NFR-12</t>
        </is>
      </c>
      <c r="F154" s="2" t="inlineStr">
        <is>
          <t>AC-16</t>
        </is>
      </c>
      <c r="G154" s="2" t="inlineStr">
        <is>
          <t>D01,D06,D08,D09</t>
        </is>
      </c>
      <c r="H154" s="2" t="inlineStr">
        <is>
          <t>按主文档第5章构建独立数据快照；同版本Chrome在1366x768跑关键链路</t>
        </is>
      </c>
      <c r="I154" s="2" t="inlineStr">
        <is>
          <t>无关键操作遮挡；表格可合理滚动；结果一致</t>
        </is>
      </c>
      <c r="J154" s="2" t="inlineStr">
        <is>
          <t>构建/环境/数据版本、请求与traceId、前后数据库一致性快照；并发附屏障时间线，故障附注入与恢复日志</t>
        </is>
      </c>
      <c r="K154" s="2" t="inlineStr">
        <is>
          <t>自动化+人工核验</t>
        </is>
      </c>
      <c r="L154" s="2" t="inlineStr">
        <is>
          <t>R1组织另一成员交叉复核</t>
        </is>
      </c>
      <c r="M154" s="2" t="inlineStr">
        <is>
          <t>《设计文档_V2.0》第4、12；业务约束见《需求分析文档_V2.0》第5—7章</t>
        </is>
      </c>
      <c r="N154" s="2" t="inlineStr">
        <is>
          <t>列举的每个边界/枚举/时刻/浏览器组合均为必测variant；每variant留runId或参数化子结果，全部通过才可将整条标PASS</t>
        </is>
      </c>
    </row>
    <row r="155" ht="72" customHeight="1">
      <c r="A155" s="2" t="inlineStr">
        <is>
          <t>TC-COMP-003</t>
        </is>
      </c>
      <c r="B155" s="2" t="inlineStr">
        <is>
          <t>COMP</t>
        </is>
      </c>
      <c r="C155" s="2" t="inlineStr">
        <is>
          <t>Edge 1920x1080</t>
        </is>
      </c>
      <c r="D155" s="2" t="inlineStr">
        <is>
          <t>P1</t>
        </is>
      </c>
      <c r="E155" s="2" t="inlineStr">
        <is>
          <t>NFR-12</t>
        </is>
      </c>
      <c r="F155" s="2" t="inlineStr">
        <is>
          <t>AC-16</t>
        </is>
      </c>
      <c r="G155" s="2" t="inlineStr">
        <is>
          <t>D01,D06,D08,D09</t>
        </is>
      </c>
      <c r="H155" s="2" t="inlineStr">
        <is>
          <t>按主文档第5章构建独立数据快照；记录精确Edge版本缩放，1920x1080跑关键链路</t>
        </is>
      </c>
      <c r="I155" s="2" t="inlineStr">
        <is>
          <t>核心链路可操作且结果一致，不用Chrome结果代替</t>
        </is>
      </c>
      <c r="J155" s="2" t="inlineStr">
        <is>
          <t>构建/环境/数据版本、请求与traceId、前后数据库一致性快照；并发附屏障时间线，故障附注入与恢复日志</t>
        </is>
      </c>
      <c r="K155" s="2" t="inlineStr">
        <is>
          <t>自动化+人工核验</t>
        </is>
      </c>
      <c r="L155" s="2" t="inlineStr">
        <is>
          <t>R1组织另一成员交叉复核</t>
        </is>
      </c>
      <c r="M155" s="2" t="inlineStr">
        <is>
          <t>《设计文档_V2.0》第4、12；业务约束见《需求分析文档_V2.0》第5—7章</t>
        </is>
      </c>
      <c r="N155" s="2" t="inlineStr">
        <is>
          <t>列举的每个边界/枚举/时刻/浏览器组合均为必测variant；每variant留runId或参数化子结果，全部通过才可将整条标PASS</t>
        </is>
      </c>
    </row>
    <row r="156" ht="72" customHeight="1">
      <c r="A156" s="2" t="inlineStr">
        <is>
          <t>TC-COMP-004</t>
        </is>
      </c>
      <c r="B156" s="2" t="inlineStr">
        <is>
          <t>COMP</t>
        </is>
      </c>
      <c r="C156" s="2" t="inlineStr">
        <is>
          <t>Edge 1366x768</t>
        </is>
      </c>
      <c r="D156" s="2" t="inlineStr">
        <is>
          <t>P1</t>
        </is>
      </c>
      <c r="E156" s="2" t="inlineStr">
        <is>
          <t>NFR-12</t>
        </is>
      </c>
      <c r="F156" s="2" t="inlineStr">
        <is>
          <t>AC-16</t>
        </is>
      </c>
      <c r="G156" s="2" t="inlineStr">
        <is>
          <t>D01,D06,D08,D09</t>
        </is>
      </c>
      <c r="H156" s="2" t="inlineStr">
        <is>
          <t>按主文档第5章构建独立数据快照；同版本Edge在1366x768跑关键链路</t>
        </is>
      </c>
      <c r="I156" s="2" t="inlineStr">
        <is>
          <t>关键按钮无阻塞；结果和状态一致；记录四组合证据</t>
        </is>
      </c>
      <c r="J156" s="2" t="inlineStr">
        <is>
          <t>构建/环境/数据版本、请求与traceId、前后数据库一致性快照；并发附屏障时间线，故障附注入与恢复日志</t>
        </is>
      </c>
      <c r="K156" s="2" t="inlineStr">
        <is>
          <t>自动化+人工核验</t>
        </is>
      </c>
      <c r="L156" s="2" t="inlineStr">
        <is>
          <t>R1组织另一成员交叉复核</t>
        </is>
      </c>
      <c r="M156" s="2" t="inlineStr">
        <is>
          <t>《设计文档_V2.0》第4、12；业务约束见《需求分析文档_V2.0》第5—7章</t>
        </is>
      </c>
      <c r="N156" s="2" t="inlineStr">
        <is>
          <t>列举的每个边界/枚举/时刻/浏览器组合均为必测variant；每variant留runId或参数化子结果，全部通过才可将整条标PASS</t>
        </is>
      </c>
    </row>
    <row r="157" ht="72" customHeight="1">
      <c r="A157" s="2" t="inlineStr">
        <is>
          <t>TC-CI-001</t>
        </is>
      </c>
      <c r="B157" s="2" t="inlineStr">
        <is>
          <t>CI</t>
        </is>
      </c>
      <c r="C157" s="2" t="inlineStr">
        <is>
          <t>合并门禁正反例</t>
        </is>
      </c>
      <c r="D157" s="2" t="inlineStr">
        <is>
          <t>P0</t>
        </is>
      </c>
      <c r="E157" s="2" t="inlineStr">
        <is>
          <t>NFR-09,NFR-11</t>
        </is>
      </c>
      <c r="F157" s="2" t="inlineStr"/>
      <c r="G157" s="2" t="inlineStr">
        <is>
          <t>D01,D12</t>
        </is>
      </c>
      <c r="H157" s="2" t="inlineStr">
        <is>
          <t>按主文档第5章构建独立数据快照；受控分支构建正常/类型失败/契约失败/SQL回归失败</t>
        </is>
      </c>
      <c r="I157" s="2" t="inlineStr">
        <is>
          <t>正常可进入review；失败阻断合并；真实DB结果可追溯commit</t>
        </is>
      </c>
      <c r="J157" s="2" t="inlineStr">
        <is>
          <t>构建/环境/数据版本、请求与traceId、前后数据库一致性快照；并发附屏障时间线，故障附注入与恢复日志</t>
        </is>
      </c>
      <c r="K157" s="2" t="inlineStr">
        <is>
          <t>自动化+人工核验</t>
        </is>
      </c>
      <c r="L157" s="2" t="inlineStr">
        <is>
          <t>R1组织另一成员交叉复核</t>
        </is>
      </c>
      <c r="M157" s="2" t="inlineStr">
        <is>
          <t>《设计文档_V2.0》第13—14；业务约束见《需求分析文档_V2.0》第5—7章</t>
        </is>
      </c>
      <c r="N157" s="2" t="inlineStr">
        <is>
          <t>列举的每个边界/枚举/时刻/浏览器组合均为必测variant；每variant留runId或参数化子结果，全部通过才可将整条标PASS</t>
        </is>
      </c>
    </row>
    <row r="158" ht="72" customHeight="1">
      <c r="A158" s="2" t="inlineStr">
        <is>
          <t>TC-CI-002</t>
        </is>
      </c>
      <c r="B158" s="2" t="inlineStr">
        <is>
          <t>CI</t>
        </is>
      </c>
      <c r="C158" s="2" t="inlineStr">
        <is>
          <t>修复与回归证据链</t>
        </is>
      </c>
      <c r="D158" s="2" t="inlineStr">
        <is>
          <t>P0</t>
        </is>
      </c>
      <c r="E158" s="2" t="inlineStr">
        <is>
          <t>NFR-09,NFR-11</t>
        </is>
      </c>
      <c r="F158" s="2" t="inlineStr"/>
      <c r="G158" s="2" t="inlineStr">
        <is>
          <t>D01,D12</t>
        </is>
      </c>
      <c r="H158" s="2" t="inlineStr">
        <is>
          <t>按主文档第5章构建独立数据快照；保留失败构建，修复后跑复现及相邻模块回归冒烟</t>
        </is>
      </c>
      <c r="I158" s="2" t="inlineStr">
        <is>
          <t>首次失败不覆盖；修复构建runId和影响回归齐全；非仅重跑直到绿</t>
        </is>
      </c>
      <c r="J158" s="2" t="inlineStr">
        <is>
          <t>构建/环境/数据版本、请求与traceId、前后数据库一致性快照；并发附屏障时间线，故障附注入与恢复日志</t>
        </is>
      </c>
      <c r="K158" s="2" t="inlineStr">
        <is>
          <t>自动化+人工核验</t>
        </is>
      </c>
      <c r="L158" s="2" t="inlineStr">
        <is>
          <t>R1组织另一成员交叉复核</t>
        </is>
      </c>
      <c r="M158" s="2" t="inlineStr">
        <is>
          <t>《设计文档_V2.0》第13—14；业务约束见《需求分析文档_V2.0》第5—7章</t>
        </is>
      </c>
      <c r="N158" s="2" t="inlineStr">
        <is>
          <t>列举的每个边界/枚举/时刻/浏览器组合均为必测variant；每variant留runId或参数化子结果，全部通过才可将整条标PASS</t>
        </is>
      </c>
    </row>
    <row r="159" ht="72" customHeight="1">
      <c r="A159" s="2" t="inlineStr">
        <is>
          <t>TC-CI-003</t>
        </is>
      </c>
      <c r="B159" s="2" t="inlineStr">
        <is>
          <t>CI</t>
        </is>
      </c>
      <c r="C159" s="2" t="inlineStr">
        <is>
          <t>测试Hook交付隔离</t>
        </is>
      </c>
      <c r="D159" s="2" t="inlineStr">
        <is>
          <t>P0</t>
        </is>
      </c>
      <c r="E159" s="2" t="inlineStr">
        <is>
          <t>NFR-09,NFR-11</t>
        </is>
      </c>
      <c r="F159" s="2" t="inlineStr"/>
      <c r="G159" s="2" t="inlineStr">
        <is>
          <t>D01,D12</t>
        </is>
      </c>
      <c r="H159" s="2" t="inlineStr">
        <is>
          <t>按主文档第5章构建独立数据快照；测试profile可控故障；demo/release请求控制端点</t>
        </is>
      </c>
      <c r="I159" s="2" t="inlineStr">
        <is>
          <t>仅测试可控且鉴权；交付环境无匿名故障注入能力</t>
        </is>
      </c>
      <c r="J159" s="2" t="inlineStr">
        <is>
          <t>构建/环境/数据版本、请求与traceId、前后数据库一致性快照；并发附屏障时间线，故障附注入与恢复日志</t>
        </is>
      </c>
      <c r="K159" s="2" t="inlineStr">
        <is>
          <t>自动化+人工核验</t>
        </is>
      </c>
      <c r="L159" s="2" t="inlineStr">
        <is>
          <t>R1组织另一成员交叉复核</t>
        </is>
      </c>
      <c r="M159" s="2" t="inlineStr">
        <is>
          <t>《设计文档_V2.0》第13—14；业务约束见《需求分析文档_V2.0》第5—7章</t>
        </is>
      </c>
      <c r="N159" s="2" t="inlineStr">
        <is>
          <t>列举的每个边界/枚举/时刻/浏览器组合均为必测variant；每variant留runId或参数化子结果，全部通过才可将整条标PASS</t>
        </is>
      </c>
    </row>
  </sheetData>
  <autoFilter ref="A1:N159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5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  <col width="22" customWidth="1" min="9" max="9"/>
    <col width="50" customWidth="1" min="10" max="10"/>
    <col width="22" customWidth="1" min="11" max="11"/>
    <col width="40" customWidth="1" min="12" max="12"/>
  </cols>
  <sheetData>
    <row r="1" ht="30" customHeight="1">
      <c r="A1" s="1" t="inlineStr">
        <is>
          <t>用例编号</t>
        </is>
      </c>
      <c r="B1" s="1" t="inlineStr">
        <is>
          <t>runId</t>
        </is>
      </c>
      <c r="C1" s="1" t="inlineStr">
        <is>
          <t>构建版本</t>
        </is>
      </c>
      <c r="D1" s="1" t="inlineStr">
        <is>
          <t>环境编号</t>
        </is>
      </c>
      <c r="E1" s="1" t="inlineStr">
        <is>
          <t>数据快照</t>
        </is>
      </c>
      <c r="F1" s="1" t="inlineStr">
        <is>
          <t>执行人</t>
        </is>
      </c>
      <c r="G1" s="1" t="inlineStr">
        <is>
          <t>当前状态</t>
        </is>
      </c>
      <c r="H1" s="1" t="inlineStr">
        <is>
          <t>实际结果</t>
        </is>
      </c>
      <c r="I1" s="1" t="inlineStr">
        <is>
          <t>缺陷编号</t>
        </is>
      </c>
      <c r="J1" s="1" t="inlineStr">
        <is>
          <t>证据路径</t>
        </is>
      </c>
      <c r="K1" s="1" t="inlineStr">
        <is>
          <t>执行时间</t>
        </is>
      </c>
      <c r="L1" s="1" t="inlineStr">
        <is>
          <t>备注</t>
        </is>
      </c>
    </row>
    <row r="2" ht="36" customHeight="1">
      <c r="A2" s="2" t="inlineStr">
        <is>
          <t>TC-AUTH-001</t>
        </is>
      </c>
      <c r="B2" s="2" t="inlineStr">
        <is>
          <t>RC-AUTO-2026-10-07</t>
        </is>
      </c>
      <c r="C2" s="2" t="inlineStr">
        <is>
          <t>V0.2.0候选（分阶段构建，见证据时间）</t>
        </is>
      </c>
      <c r="D2" s="2" t="inlineStr">
        <is>
          <t>Win/Java21/MySQL8.4/Chrome</t>
        </is>
      </c>
      <c r="E2" s="2" t="inlineStr">
        <is>
          <t>registration_test；browser基线使用demo</t>
        </is>
      </c>
      <c r="F2" s="2" t="inlineStr">
        <is>
          <t>Codex自动执行</t>
        </is>
      </c>
      <c r="G2" s="2" t="inlineStr">
        <is>
          <t>PARTIAL</t>
        </is>
      </c>
      <c r="H2" s="2" t="inlineStr">
        <is>
          <t>已执行关联场景；未覆盖所有必测variant</t>
        </is>
      </c>
      <c r="I2" s="2" t="inlineStr"/>
      <c r="J2" s="2" t="inlineStr">
        <is>
          <t>验收证据/browser.json;验收证据/integration.json</t>
        </is>
      </c>
      <c r="K2" s="2" t="inlineStr">
        <is>
          <t>2026-10-06T16:57:56.747Z</t>
        </is>
      </c>
      <c r="L2" s="2" t="inlineStr">
        <is>
          <t>全变体通过且成员复核后才能标整条PASS；自动执行不代替人工签名</t>
        </is>
      </c>
    </row>
    <row r="3" ht="36" customHeight="1">
      <c r="A3" s="2" t="inlineStr">
        <is>
          <t>TC-AUTH-002</t>
        </is>
      </c>
      <c r="B3" s="2" t="inlineStr">
        <is>
          <t>RC-AUTO-2026-10-07</t>
        </is>
      </c>
      <c r="C3" s="2" t="inlineStr">
        <is>
          <t>V0.2.0候选（分阶段构建，见证据时间）</t>
        </is>
      </c>
      <c r="D3" s="2" t="inlineStr">
        <is>
          <t>Win/Java21/MySQL8.4/Chrome</t>
        </is>
      </c>
      <c r="E3" s="2" t="inlineStr">
        <is>
          <t>registration_test；browser基线使用demo</t>
        </is>
      </c>
      <c r="F3" s="2" t="inlineStr">
        <is>
          <t>Codex自动执行</t>
        </is>
      </c>
      <c r="G3" s="2" t="inlineStr">
        <is>
          <t>PARTIAL</t>
        </is>
      </c>
      <c r="H3" s="2" t="inlineStr">
        <is>
          <t>已执行关联场景；未覆盖所有必测variant</t>
        </is>
      </c>
      <c r="I3" s="2" t="inlineStr"/>
      <c r="J3" s="2" t="inlineStr">
        <is>
          <t>验收证据/acceptance.json;验收证据/integration.json</t>
        </is>
      </c>
      <c r="K3" s="2" t="inlineStr">
        <is>
          <t>2026-10-06T16:45:38.735388+00:00</t>
        </is>
      </c>
      <c r="L3" s="2" t="inlineStr">
        <is>
          <t>全变体通过且成员复核后才能标整条PASS；自动执行不代替人工签名</t>
        </is>
      </c>
    </row>
    <row r="4" ht="36" customHeight="1">
      <c r="A4" s="2" t="inlineStr">
        <is>
          <t>TC-AUTH-003</t>
        </is>
      </c>
      <c r="B4" s="2" t="inlineStr">
        <is>
          <t>RC-AUTO-2026-10-07</t>
        </is>
      </c>
      <c r="C4" s="2" t="inlineStr">
        <is>
          <t>V0.2.0候选（分阶段构建，见证据时间）</t>
        </is>
      </c>
      <c r="D4" s="2" t="inlineStr">
        <is>
          <t>Win/Java21/MySQL8.4/Chrome</t>
        </is>
      </c>
      <c r="E4" s="2" t="inlineStr">
        <is>
          <t>registration_test；browser基线使用demo</t>
        </is>
      </c>
      <c r="F4" s="2" t="inlineStr">
        <is>
          <t>Codex自动执行</t>
        </is>
      </c>
      <c r="G4" s="2" t="inlineStr">
        <is>
          <t>PARTIAL</t>
        </is>
      </c>
      <c r="H4" s="2" t="inlineStr">
        <is>
          <t>已执行关联场景；未覆盖所有必测variant</t>
        </is>
      </c>
      <c r="I4" s="2" t="inlineStr"/>
      <c r="J4" s="2" t="inlineStr">
        <is>
          <t>验收证据/integration.json</t>
        </is>
      </c>
      <c r="K4" s="2" t="inlineStr">
        <is>
          <t>2026-10-06T16:45:13.806207+00:00</t>
        </is>
      </c>
      <c r="L4" s="2" t="inlineStr">
        <is>
          <t>全变体通过且成员复核后才能标整条PASS；自动执行不代替人工签名</t>
        </is>
      </c>
    </row>
    <row r="5" ht="36" customHeight="1">
      <c r="A5" s="2" t="inlineStr">
        <is>
          <t>TC-AUTH-004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NOT_RUN</t>
        </is>
      </c>
      <c r="H5" s="2" t="inlineStr"/>
      <c r="I5" s="2" t="inlineStr"/>
      <c r="J5" s="2" t="inlineStr"/>
      <c r="K5" s="2" t="inlineStr"/>
      <c r="L5" s="2" t="inlineStr"/>
    </row>
    <row r="6" ht="36" customHeight="1">
      <c r="A6" s="2" t="inlineStr">
        <is>
          <t>TC-AUTH-005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NOT_RUN</t>
        </is>
      </c>
      <c r="H6" s="2" t="inlineStr"/>
      <c r="I6" s="2" t="inlineStr"/>
      <c r="J6" s="2" t="inlineStr"/>
      <c r="K6" s="2" t="inlineStr"/>
      <c r="L6" s="2" t="inlineStr"/>
    </row>
    <row r="7" ht="36" customHeight="1">
      <c r="A7" s="2" t="inlineStr">
        <is>
          <t>TC-AUTH-006</t>
        </is>
      </c>
      <c r="B7" s="2" t="inlineStr">
        <is>
          <t>RC-AUTO-2026-10-07</t>
        </is>
      </c>
      <c r="C7" s="2" t="inlineStr">
        <is>
          <t>V0.2.0候选（分阶段构建，见证据时间）</t>
        </is>
      </c>
      <c r="D7" s="2" t="inlineStr">
        <is>
          <t>Win/Java21/MySQL8.4/Chrome</t>
        </is>
      </c>
      <c r="E7" s="2" t="inlineStr">
        <is>
          <t>registration_test；browser基线使用demo</t>
        </is>
      </c>
      <c r="F7" s="2" t="inlineStr">
        <is>
          <t>Codex自动执行</t>
        </is>
      </c>
      <c r="G7" s="2" t="inlineStr">
        <is>
          <t>PARTIAL</t>
        </is>
      </c>
      <c r="H7" s="2" t="inlineStr">
        <is>
          <t>已执行关联场景；未覆盖所有必测variant</t>
        </is>
      </c>
      <c r="I7" s="2" t="inlineStr"/>
      <c r="J7" s="2" t="inlineStr">
        <is>
          <t>验收证据/acceptance.json</t>
        </is>
      </c>
      <c r="K7" s="2" t="inlineStr">
        <is>
          <t>2026-10-06T16:45:38.735388+00:00</t>
        </is>
      </c>
      <c r="L7" s="2" t="inlineStr">
        <is>
          <t>全变体通过且成员复核后才能标整条PASS；自动执行不代替人工签名</t>
        </is>
      </c>
    </row>
    <row r="8" ht="36" customHeight="1">
      <c r="A8" s="2" t="inlineStr">
        <is>
          <t>TC-AUTH-007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NOT_RUN</t>
        </is>
      </c>
      <c r="H8" s="2" t="inlineStr"/>
      <c r="I8" s="2" t="inlineStr"/>
      <c r="J8" s="2" t="inlineStr"/>
      <c r="K8" s="2" t="inlineStr"/>
      <c r="L8" s="2" t="inlineStr"/>
    </row>
    <row r="9" ht="36" customHeight="1">
      <c r="A9" s="2" t="inlineStr">
        <is>
          <t>TC-AUTH-008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NOT_RUN</t>
        </is>
      </c>
      <c r="H9" s="2" t="inlineStr"/>
      <c r="I9" s="2" t="inlineStr"/>
      <c r="J9" s="2" t="inlineStr"/>
      <c r="K9" s="2" t="inlineStr"/>
      <c r="L9" s="2" t="inlineStr"/>
    </row>
    <row r="10" ht="36" customHeight="1">
      <c r="A10" s="2" t="inlineStr">
        <is>
          <t>TC-CAT-001</t>
        </is>
      </c>
      <c r="B10" s="2" t="inlineStr">
        <is>
          <t>RC-AUTO-2026-10-07</t>
        </is>
      </c>
      <c r="C10" s="2" t="inlineStr">
        <is>
          <t>V0.2.0候选（分阶段构建，见证据时间）</t>
        </is>
      </c>
      <c r="D10" s="2" t="inlineStr">
        <is>
          <t>Win/Java21/MySQL8.4/Chrome</t>
        </is>
      </c>
      <c r="E10" s="2" t="inlineStr">
        <is>
          <t>registration_test；browser基线使用demo</t>
        </is>
      </c>
      <c r="F10" s="2" t="inlineStr">
        <is>
          <t>Codex自动执行</t>
        </is>
      </c>
      <c r="G10" s="2" t="inlineStr">
        <is>
          <t>PARTIAL</t>
        </is>
      </c>
      <c r="H10" s="2" t="inlineStr">
        <is>
          <t>已执行关联场景；未覆盖所有必测variant</t>
        </is>
      </c>
      <c r="I10" s="2" t="inlineStr"/>
      <c r="J10" s="2" t="inlineStr">
        <is>
          <t>验收证据/browser.json;验收证据/integration.json</t>
        </is>
      </c>
      <c r="K10" s="2" t="inlineStr">
        <is>
          <t>2026-10-06T16:57:56.747Z</t>
        </is>
      </c>
      <c r="L10" s="2" t="inlineStr">
        <is>
          <t>全变体通过且成员复核后才能标整条PASS；自动执行不代替人工签名</t>
        </is>
      </c>
    </row>
    <row r="11" ht="36" customHeight="1">
      <c r="A11" s="2" t="inlineStr">
        <is>
          <t>TC-CAT-002</t>
        </is>
      </c>
      <c r="B11" s="2" t="inlineStr">
        <is>
          <t>RC-AUTO-2026-10-07</t>
        </is>
      </c>
      <c r="C11" s="2" t="inlineStr">
        <is>
          <t>V0.2.0候选（分阶段构建，见证据时间）</t>
        </is>
      </c>
      <c r="D11" s="2" t="inlineStr">
        <is>
          <t>Win/Java21/MySQL8.4/Chrome</t>
        </is>
      </c>
      <c r="E11" s="2" t="inlineStr">
        <is>
          <t>registration_test；browser基线使用demo</t>
        </is>
      </c>
      <c r="F11" s="2" t="inlineStr">
        <is>
          <t>Codex自动执行</t>
        </is>
      </c>
      <c r="G11" s="2" t="inlineStr">
        <is>
          <t>PARTIAL</t>
        </is>
      </c>
      <c r="H11" s="2" t="inlineStr">
        <is>
          <t>已执行关联场景；未覆盖所有必测variant</t>
        </is>
      </c>
      <c r="I11" s="2" t="inlineStr"/>
      <c r="J11" s="2" t="inlineStr">
        <is>
          <t>验收证据/acceptance.json</t>
        </is>
      </c>
      <c r="K11" s="2" t="inlineStr">
        <is>
          <t>2026-10-06T16:45:38.735388+00:00</t>
        </is>
      </c>
      <c r="L11" s="2" t="inlineStr">
        <is>
          <t>全变体通过且成员复核后才能标整条PASS；自动执行不代替人工签名</t>
        </is>
      </c>
    </row>
    <row r="12" ht="36" customHeight="1">
      <c r="A12" s="2" t="inlineStr">
        <is>
          <t>TC-CAT-003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NOT_RUN</t>
        </is>
      </c>
      <c r="H12" s="2" t="inlineStr"/>
      <c r="I12" s="2" t="inlineStr"/>
      <c r="J12" s="2" t="inlineStr"/>
      <c r="K12" s="2" t="inlineStr"/>
      <c r="L12" s="2" t="inlineStr"/>
    </row>
    <row r="13" ht="36" customHeight="1">
      <c r="A13" s="2" t="inlineStr">
        <is>
          <t>TC-CAT-004</t>
        </is>
      </c>
      <c r="B13" s="2" t="inlineStr">
        <is>
          <t>RC-AUTO-2026-10-07</t>
        </is>
      </c>
      <c r="C13" s="2" t="inlineStr">
        <is>
          <t>V0.2.0候选（分阶段构建，见证据时间）</t>
        </is>
      </c>
      <c r="D13" s="2" t="inlineStr">
        <is>
          <t>Win/Java21/MySQL8.4/Chrome</t>
        </is>
      </c>
      <c r="E13" s="2" t="inlineStr">
        <is>
          <t>registration_test；browser基线使用demo</t>
        </is>
      </c>
      <c r="F13" s="2" t="inlineStr">
        <is>
          <t>Codex自动执行</t>
        </is>
      </c>
      <c r="G13" s="2" t="inlineStr">
        <is>
          <t>PARTIAL</t>
        </is>
      </c>
      <c r="H13" s="2" t="inlineStr">
        <is>
          <t>已执行关联场景；未覆盖所有必测variant</t>
        </is>
      </c>
      <c r="I13" s="2" t="inlineStr"/>
      <c r="J13" s="2" t="inlineStr">
        <is>
          <t>验收证据/acceptance.json</t>
        </is>
      </c>
      <c r="K13" s="2" t="inlineStr">
        <is>
          <t>2026-10-06T16:45:38.735388+00:00</t>
        </is>
      </c>
      <c r="L13" s="2" t="inlineStr">
        <is>
          <t>全变体通过且成员复核后才能标整条PASS；自动执行不代替人工签名</t>
        </is>
      </c>
    </row>
    <row r="14" ht="36" customHeight="1">
      <c r="A14" s="2" t="inlineStr">
        <is>
          <t>TC-CAT-005</t>
        </is>
      </c>
      <c r="B14" s="2" t="inlineStr">
        <is>
          <t>RC-AUTO-2026-10-07</t>
        </is>
      </c>
      <c r="C14" s="2" t="inlineStr">
        <is>
          <t>V0.2.0候选（分阶段构建，见证据时间）</t>
        </is>
      </c>
      <c r="D14" s="2" t="inlineStr">
        <is>
          <t>Win/Java21/MySQL8.4/Chrome</t>
        </is>
      </c>
      <c r="E14" s="2" t="inlineStr">
        <is>
          <t>registration_test；browser基线使用demo</t>
        </is>
      </c>
      <c r="F14" s="2" t="inlineStr">
        <is>
          <t>Codex自动执行</t>
        </is>
      </c>
      <c r="G14" s="2" t="inlineStr">
        <is>
          <t>PARTIAL</t>
        </is>
      </c>
      <c r="H14" s="2" t="inlineStr">
        <is>
          <t>已执行关联场景；未覆盖所有必测variant</t>
        </is>
      </c>
      <c r="I14" s="2" t="inlineStr"/>
      <c r="J14" s="2" t="inlineStr">
        <is>
          <t>验收证据/acceptance.json</t>
        </is>
      </c>
      <c r="K14" s="2" t="inlineStr">
        <is>
          <t>2026-10-06T16:45:38.735388+00:00</t>
        </is>
      </c>
      <c r="L14" s="2" t="inlineStr">
        <is>
          <t>全变体通过且成员复核后才能标整条PASS；自动执行不代替人工签名</t>
        </is>
      </c>
    </row>
    <row r="15" ht="36" customHeight="1">
      <c r="A15" s="2" t="inlineStr">
        <is>
          <t>TC-CAT-006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NOT_RUN</t>
        </is>
      </c>
      <c r="H15" s="2" t="inlineStr"/>
      <c r="I15" s="2" t="inlineStr"/>
      <c r="J15" s="2" t="inlineStr"/>
      <c r="K15" s="2" t="inlineStr"/>
      <c r="L15" s="2" t="inlineStr"/>
    </row>
    <row r="16" ht="36" customHeight="1">
      <c r="A16" s="2" t="inlineStr">
        <is>
          <t>TC-REG-001</t>
        </is>
      </c>
      <c r="B16" s="2" t="inlineStr">
        <is>
          <t>RC-AUTO-2026-10-07</t>
        </is>
      </c>
      <c r="C16" s="2" t="inlineStr">
        <is>
          <t>V0.2.0候选（分阶段构建，见证据时间）</t>
        </is>
      </c>
      <c r="D16" s="2" t="inlineStr">
        <is>
          <t>Win/Java21/MySQL8.4/Chrome</t>
        </is>
      </c>
      <c r="E16" s="2" t="inlineStr">
        <is>
          <t>registration_test；browser基线使用demo</t>
        </is>
      </c>
      <c r="F16" s="2" t="inlineStr">
        <is>
          <t>Codex自动执行</t>
        </is>
      </c>
      <c r="G16" s="2" t="inlineStr">
        <is>
          <t>PARTIAL</t>
        </is>
      </c>
      <c r="H16" s="2" t="inlineStr">
        <is>
          <t>已执行关联场景；未覆盖所有必测variant</t>
        </is>
      </c>
      <c r="I16" s="2" t="inlineStr"/>
      <c r="J16" s="2" t="inlineStr">
        <is>
          <t>验收证据/browser.json;验收证据/integration.json</t>
        </is>
      </c>
      <c r="K16" s="2" t="inlineStr">
        <is>
          <t>2026-10-06T16:57:56.747Z</t>
        </is>
      </c>
      <c r="L16" s="2" t="inlineStr">
        <is>
          <t>全变体通过且成员复核后才能标整条PASS；自动执行不代替人工签名</t>
        </is>
      </c>
    </row>
    <row r="17" ht="36" customHeight="1">
      <c r="A17" s="2" t="inlineStr">
        <is>
          <t>TC-REG-002</t>
        </is>
      </c>
      <c r="B17" s="2" t="inlineStr">
        <is>
          <t>RC-AUTO-2026-10-07</t>
        </is>
      </c>
      <c r="C17" s="2" t="inlineStr">
        <is>
          <t>V0.2.0候选（分阶段构建，见证据时间）</t>
        </is>
      </c>
      <c r="D17" s="2" t="inlineStr">
        <is>
          <t>Win/Java21/MySQL8.4/Chrome</t>
        </is>
      </c>
      <c r="E17" s="2" t="inlineStr">
        <is>
          <t>registration_test；browser基线使用demo</t>
        </is>
      </c>
      <c r="F17" s="2" t="inlineStr">
        <is>
          <t>Codex自动执行</t>
        </is>
      </c>
      <c r="G17" s="2" t="inlineStr">
        <is>
          <t>PARTIAL</t>
        </is>
      </c>
      <c r="H17" s="2" t="inlineStr">
        <is>
          <t>已执行关联场景；未覆盖所有必测variant</t>
        </is>
      </c>
      <c r="I17" s="2" t="inlineStr"/>
      <c r="J17" s="2" t="inlineStr">
        <is>
          <t>验收证据/acceptance.json</t>
        </is>
      </c>
      <c r="K17" s="2" t="inlineStr">
        <is>
          <t>2026-10-06T16:45:38.735388+00:00</t>
        </is>
      </c>
      <c r="L17" s="2" t="inlineStr">
        <is>
          <t>全变体通过且成员复核后才能标整条PASS；自动执行不代替人工签名</t>
        </is>
      </c>
    </row>
    <row r="18" ht="36" customHeight="1">
      <c r="A18" s="2" t="inlineStr">
        <is>
          <t>TC-REG-003</t>
        </is>
      </c>
      <c r="B18" s="2" t="inlineStr">
        <is>
          <t>RC-AUTO-2026-10-07</t>
        </is>
      </c>
      <c r="C18" s="2" t="inlineStr">
        <is>
          <t>V0.2.0候选（分阶段构建，见证据时间）</t>
        </is>
      </c>
      <c r="D18" s="2" t="inlineStr">
        <is>
          <t>Win/Java21/MySQL8.4/Chrome</t>
        </is>
      </c>
      <c r="E18" s="2" t="inlineStr">
        <is>
          <t>registration_test；browser基线使用demo</t>
        </is>
      </c>
      <c r="F18" s="2" t="inlineStr">
        <is>
          <t>Codex自动执行</t>
        </is>
      </c>
      <c r="G18" s="2" t="inlineStr">
        <is>
          <t>PARTIAL</t>
        </is>
      </c>
      <c r="H18" s="2" t="inlineStr">
        <is>
          <t>已执行关联场景；未覆盖所有必测variant</t>
        </is>
      </c>
      <c r="I18" s="2" t="inlineStr"/>
      <c r="J18" s="2" t="inlineStr">
        <is>
          <t>验收证据/browser.json;验收证据/integration.json;验收证据/rehearsal.json</t>
        </is>
      </c>
      <c r="K18" s="2" t="inlineStr">
        <is>
          <t>2026-10-06T16:57:56.747Z</t>
        </is>
      </c>
      <c r="L18" s="2" t="inlineStr">
        <is>
          <t>全变体通过且成员复核后才能标整条PASS；自动执行不代替人工签名</t>
        </is>
      </c>
    </row>
    <row r="19" ht="36" customHeight="1">
      <c r="A19" s="2" t="inlineStr">
        <is>
          <t>TC-REG-004</t>
        </is>
      </c>
      <c r="B19" s="2" t="inlineStr">
        <is>
          <t>RC-AUTO-2026-10-07</t>
        </is>
      </c>
      <c r="C19" s="2" t="inlineStr">
        <is>
          <t>V0.2.0候选（分阶段构建，见证据时间）</t>
        </is>
      </c>
      <c r="D19" s="2" t="inlineStr">
        <is>
          <t>Win/Java21/MySQL8.4/Chrome</t>
        </is>
      </c>
      <c r="E19" s="2" t="inlineStr">
        <is>
          <t>registration_test；browser基线使用demo</t>
        </is>
      </c>
      <c r="F19" s="2" t="inlineStr">
        <is>
          <t>Codex自动执行</t>
        </is>
      </c>
      <c r="G19" s="2" t="inlineStr">
        <is>
          <t>PARTIAL</t>
        </is>
      </c>
      <c r="H19" s="2" t="inlineStr">
        <is>
          <t>已执行关联场景；未覆盖所有必测variant</t>
        </is>
      </c>
      <c r="I19" s="2" t="inlineStr"/>
      <c r="J19" s="2" t="inlineStr">
        <is>
          <t>验收证据/acceptance.json</t>
        </is>
      </c>
      <c r="K19" s="2" t="inlineStr">
        <is>
          <t>2026-10-06T16:45:38.735388+00:00</t>
        </is>
      </c>
      <c r="L19" s="2" t="inlineStr">
        <is>
          <t>全变体通过且成员复核后才能标整条PASS；自动执行不代替人工签名</t>
        </is>
      </c>
    </row>
    <row r="20" ht="36" customHeight="1">
      <c r="A20" s="2" t="inlineStr">
        <is>
          <t>TC-REG-005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NOT_RUN</t>
        </is>
      </c>
      <c r="H20" s="2" t="inlineStr"/>
      <c r="I20" s="2" t="inlineStr"/>
      <c r="J20" s="2" t="inlineStr"/>
      <c r="K20" s="2" t="inlineStr"/>
      <c r="L20" s="2" t="inlineStr"/>
    </row>
    <row r="21" ht="36" customHeight="1">
      <c r="A21" s="2" t="inlineStr">
        <is>
          <t>TC-REG-006</t>
        </is>
      </c>
      <c r="B21" s="2" t="inlineStr">
        <is>
          <t>RC-AUTO-2026-10-07</t>
        </is>
      </c>
      <c r="C21" s="2" t="inlineStr">
        <is>
          <t>V0.2.0候选（分阶段构建，见证据时间）</t>
        </is>
      </c>
      <c r="D21" s="2" t="inlineStr">
        <is>
          <t>Win/Java21/MySQL8.4/Chrome</t>
        </is>
      </c>
      <c r="E21" s="2" t="inlineStr">
        <is>
          <t>registration_test；browser基线使用demo</t>
        </is>
      </c>
      <c r="F21" s="2" t="inlineStr">
        <is>
          <t>Codex自动执行</t>
        </is>
      </c>
      <c r="G21" s="2" t="inlineStr">
        <is>
          <t>PARTIAL</t>
        </is>
      </c>
      <c r="H21" s="2" t="inlineStr">
        <is>
          <t>已执行关联场景；未覆盖所有必测variant</t>
        </is>
      </c>
      <c r="I21" s="2" t="inlineStr"/>
      <c r="J21" s="2" t="inlineStr">
        <is>
          <t>验收证据/acceptance.json;验收证据/integration.json</t>
        </is>
      </c>
      <c r="K21" s="2" t="inlineStr">
        <is>
          <t>2026-10-06T16:45:38.735388+00:00</t>
        </is>
      </c>
      <c r="L21" s="2" t="inlineStr">
        <is>
          <t>全变体通过且成员复核后才能标整条PASS；自动执行不代替人工签名</t>
        </is>
      </c>
    </row>
    <row r="22" ht="36" customHeight="1">
      <c r="A22" s="2" t="inlineStr">
        <is>
          <t>TC-REG-007</t>
        </is>
      </c>
      <c r="B22" s="2" t="inlineStr">
        <is>
          <t>RC-AUTO-2026-10-07</t>
        </is>
      </c>
      <c r="C22" s="2" t="inlineStr">
        <is>
          <t>V0.2.0候选（分阶段构建，见证据时间）</t>
        </is>
      </c>
      <c r="D22" s="2" t="inlineStr">
        <is>
          <t>Win/Java21/MySQL8.4/Chrome</t>
        </is>
      </c>
      <c r="E22" s="2" t="inlineStr">
        <is>
          <t>registration_test；browser基线使用demo</t>
        </is>
      </c>
      <c r="F22" s="2" t="inlineStr">
        <is>
          <t>Codex自动执行</t>
        </is>
      </c>
      <c r="G22" s="2" t="inlineStr">
        <is>
          <t>PARTIAL</t>
        </is>
      </c>
      <c r="H22" s="2" t="inlineStr">
        <is>
          <t>已执行关联场景；未覆盖所有必测variant</t>
        </is>
      </c>
      <c r="I22" s="2" t="inlineStr"/>
      <c r="J22" s="2" t="inlineStr">
        <is>
          <t>验收证据/acceptance.json</t>
        </is>
      </c>
      <c r="K22" s="2" t="inlineStr">
        <is>
          <t>2026-10-06T16:45:38.735388+00:00</t>
        </is>
      </c>
      <c r="L22" s="2" t="inlineStr">
        <is>
          <t>全变体通过且成员复核后才能标整条PASS；自动执行不代替人工签名</t>
        </is>
      </c>
    </row>
    <row r="23" ht="36" customHeight="1">
      <c r="A23" s="2" t="inlineStr">
        <is>
          <t>TC-REG-008</t>
        </is>
      </c>
      <c r="B23" s="2" t="inlineStr">
        <is>
          <t>RC-AUTO-2026-10-07</t>
        </is>
      </c>
      <c r="C23" s="2" t="inlineStr">
        <is>
          <t>V0.2.0候选（分阶段构建，见证据时间）</t>
        </is>
      </c>
      <c r="D23" s="2" t="inlineStr">
        <is>
          <t>Win/Java21/MySQL8.4/Chrome</t>
        </is>
      </c>
      <c r="E23" s="2" t="inlineStr">
        <is>
          <t>registration_test；browser基线使用demo</t>
        </is>
      </c>
      <c r="F23" s="2" t="inlineStr">
        <is>
          <t>Codex自动执行</t>
        </is>
      </c>
      <c r="G23" s="2" t="inlineStr">
        <is>
          <t>PARTIAL</t>
        </is>
      </c>
      <c r="H23" s="2" t="inlineStr">
        <is>
          <t>已执行关联场景；未覆盖所有必测variant</t>
        </is>
      </c>
      <c r="I23" s="2" t="inlineStr"/>
      <c r="J23" s="2" t="inlineStr">
        <is>
          <t>验收证据/algorithm-unit.xml</t>
        </is>
      </c>
      <c r="K23" s="2" t="inlineStr">
        <is>
          <t>2026-10-07</t>
        </is>
      </c>
      <c r="L23" s="2" t="inlineStr">
        <is>
          <t>全变体通过且成员复核后才能标整条PASS；自动执行不代替人工签名</t>
        </is>
      </c>
    </row>
    <row r="24" ht="36" customHeight="1">
      <c r="A24" s="2" t="inlineStr">
        <is>
          <t>TC-REG-009</t>
        </is>
      </c>
      <c r="B24" s="2" t="inlineStr">
        <is>
          <t>RC-AUTO-2026-10-07</t>
        </is>
      </c>
      <c r="C24" s="2" t="inlineStr">
        <is>
          <t>V0.2.0候选（分阶段构建，见证据时间）</t>
        </is>
      </c>
      <c r="D24" s="2" t="inlineStr">
        <is>
          <t>Win/Java21/MySQL8.4/Chrome</t>
        </is>
      </c>
      <c r="E24" s="2" t="inlineStr">
        <is>
          <t>registration_test；browser基线使用demo</t>
        </is>
      </c>
      <c r="F24" s="2" t="inlineStr">
        <is>
          <t>Codex自动执行</t>
        </is>
      </c>
      <c r="G24" s="2" t="inlineStr">
        <is>
          <t>PARTIAL</t>
        </is>
      </c>
      <c r="H24" s="2" t="inlineStr">
        <is>
          <t>已执行关联场景；未覆盖所有必测variant</t>
        </is>
      </c>
      <c r="I24" s="2" t="inlineStr"/>
      <c r="J24" s="2" t="inlineStr">
        <is>
          <t>验收证据/acceptance.json</t>
        </is>
      </c>
      <c r="K24" s="2" t="inlineStr">
        <is>
          <t>2026-10-06T16:45:38.735388+00:00</t>
        </is>
      </c>
      <c r="L24" s="2" t="inlineStr">
        <is>
          <t>全变体通过且成员复核后才能标整条PASS；自动执行不代替人工签名</t>
        </is>
      </c>
    </row>
    <row r="25" ht="36" customHeight="1">
      <c r="A25" s="2" t="inlineStr">
        <is>
          <t>TC-REG-010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NOT_RUN</t>
        </is>
      </c>
      <c r="H25" s="2" t="inlineStr"/>
      <c r="I25" s="2" t="inlineStr"/>
      <c r="J25" s="2" t="inlineStr"/>
      <c r="K25" s="2" t="inlineStr"/>
      <c r="L25" s="2" t="inlineStr"/>
    </row>
    <row r="26" ht="36" customHeight="1">
      <c r="A26" s="2" t="inlineStr">
        <is>
          <t>TC-REG-011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NOT_RUN</t>
        </is>
      </c>
      <c r="H26" s="2" t="inlineStr"/>
      <c r="I26" s="2" t="inlineStr"/>
      <c r="J26" s="2" t="inlineStr"/>
      <c r="K26" s="2" t="inlineStr"/>
      <c r="L26" s="2" t="inlineStr"/>
    </row>
    <row r="27" ht="36" customHeight="1">
      <c r="A27" s="2" t="inlineStr">
        <is>
          <t>TC-REG-012</t>
        </is>
      </c>
      <c r="B27" s="2" t="inlineStr"/>
      <c r="C27" s="2" t="inlineStr"/>
      <c r="D27" s="2" t="inlineStr"/>
      <c r="E27" s="2" t="inlineStr"/>
      <c r="F27" s="2" t="inlineStr"/>
      <c r="G27" s="2" t="inlineStr">
        <is>
          <t>NOT_RUN</t>
        </is>
      </c>
      <c r="H27" s="2" t="inlineStr"/>
      <c r="I27" s="2" t="inlineStr"/>
      <c r="J27" s="2" t="inlineStr"/>
      <c r="K27" s="2" t="inlineStr"/>
      <c r="L27" s="2" t="inlineStr"/>
    </row>
    <row r="28" ht="36" customHeight="1">
      <c r="A28" s="2" t="inlineStr">
        <is>
          <t>TC-REG-013</t>
        </is>
      </c>
      <c r="B28" s="2" t="inlineStr">
        <is>
          <t>RC-AUTO-2026-10-07</t>
        </is>
      </c>
      <c r="C28" s="2" t="inlineStr">
        <is>
          <t>V0.2.0候选（分阶段构建，见证据时间）</t>
        </is>
      </c>
      <c r="D28" s="2" t="inlineStr">
        <is>
          <t>Win/Java21/MySQL8.4/Chrome</t>
        </is>
      </c>
      <c r="E28" s="2" t="inlineStr">
        <is>
          <t>registration_test；browser基线使用demo</t>
        </is>
      </c>
      <c r="F28" s="2" t="inlineStr">
        <is>
          <t>Codex自动执行</t>
        </is>
      </c>
      <c r="G28" s="2" t="inlineStr">
        <is>
          <t>PARTIAL</t>
        </is>
      </c>
      <c r="H28" s="2" t="inlineStr">
        <is>
          <t>已执行关联场景；未覆盖所有必测variant</t>
        </is>
      </c>
      <c r="I28" s="2" t="inlineStr"/>
      <c r="J28" s="2" t="inlineStr">
        <is>
          <t>验收证据/browser.json</t>
        </is>
      </c>
      <c r="K28" s="2" t="inlineStr">
        <is>
          <t>2026-10-06T16:57:56.747Z</t>
        </is>
      </c>
      <c r="L28" s="2" t="inlineStr">
        <is>
          <t>全变体通过且成员复核后才能标整条PASS；自动执行不代替人工签名</t>
        </is>
      </c>
    </row>
    <row r="29" ht="36" customHeight="1">
      <c r="A29" s="2" t="inlineStr">
        <is>
          <t>TC-REG-014</t>
        </is>
      </c>
      <c r="B29" s="2" t="inlineStr">
        <is>
          <t>RC-AUTO-2026-10-07</t>
        </is>
      </c>
      <c r="C29" s="2" t="inlineStr">
        <is>
          <t>V0.2.0候选（分阶段构建，见证据时间）</t>
        </is>
      </c>
      <c r="D29" s="2" t="inlineStr">
        <is>
          <t>Win/Java21/MySQL8.4/Chrome</t>
        </is>
      </c>
      <c r="E29" s="2" t="inlineStr">
        <is>
          <t>registration_test；browser基线使用demo</t>
        </is>
      </c>
      <c r="F29" s="2" t="inlineStr">
        <is>
          <t>Codex自动执行</t>
        </is>
      </c>
      <c r="G29" s="2" t="inlineStr">
        <is>
          <t>PARTIAL</t>
        </is>
      </c>
      <c r="H29" s="2" t="inlineStr">
        <is>
          <t>已执行关联场景；未覆盖所有必测variant</t>
        </is>
      </c>
      <c r="I29" s="2" t="inlineStr"/>
      <c r="J29" s="2" t="inlineStr">
        <is>
          <t>验收证据/integration.json;验收证据/rehearsal.json</t>
        </is>
      </c>
      <c r="K29" s="2" t="inlineStr">
        <is>
          <t>2026-10-06T16:57:49.954Z</t>
        </is>
      </c>
      <c r="L29" s="2" t="inlineStr">
        <is>
          <t>全变体通过且成员复核后才能标整条PASS；自动执行不代替人工签名</t>
        </is>
      </c>
    </row>
    <row r="30" ht="36" customHeight="1">
      <c r="A30" s="2" t="inlineStr">
        <is>
          <t>TC-REG-015</t>
        </is>
      </c>
      <c r="B30" s="2" t="inlineStr">
        <is>
          <t>RC-AUTO-2026-10-07</t>
        </is>
      </c>
      <c r="C30" s="2" t="inlineStr">
        <is>
          <t>V0.2.0候选（分阶段构建，见证据时间）</t>
        </is>
      </c>
      <c r="D30" s="2" t="inlineStr">
        <is>
          <t>Win/Java21/MySQL8.4/Chrome</t>
        </is>
      </c>
      <c r="E30" s="2" t="inlineStr">
        <is>
          <t>registration_test；browser基线使用demo</t>
        </is>
      </c>
      <c r="F30" s="2" t="inlineStr">
        <is>
          <t>Codex自动执行</t>
        </is>
      </c>
      <c r="G30" s="2" t="inlineStr">
        <is>
          <t>PARTIAL</t>
        </is>
      </c>
      <c r="H30" s="2" t="inlineStr">
        <is>
          <t>已执行关联场景；未覆盖所有必测variant</t>
        </is>
      </c>
      <c r="I30" s="2" t="inlineStr"/>
      <c r="J30" s="2" t="inlineStr">
        <is>
          <t>验收证据/integration.json</t>
        </is>
      </c>
      <c r="K30" s="2" t="inlineStr">
        <is>
          <t>2026-10-06T16:45:13.806207+00:00</t>
        </is>
      </c>
      <c r="L30" s="2" t="inlineStr">
        <is>
          <t>全变体通过且成员复核后才能标整条PASS；自动执行不代替人工签名</t>
        </is>
      </c>
    </row>
    <row r="31" ht="36" customHeight="1">
      <c r="A31" s="2" t="inlineStr">
        <is>
          <t>TC-REG-016</t>
        </is>
      </c>
      <c r="B31" s="2" t="inlineStr">
        <is>
          <t>RC-AUTO-2026-10-07</t>
        </is>
      </c>
      <c r="C31" s="2" t="inlineStr">
        <is>
          <t>V0.2.0候选（分阶段构建，见证据时间）</t>
        </is>
      </c>
      <c r="D31" s="2" t="inlineStr">
        <is>
          <t>Win/Java21/MySQL8.4/Chrome</t>
        </is>
      </c>
      <c r="E31" s="2" t="inlineStr">
        <is>
          <t>registration_test；browser基线使用demo</t>
        </is>
      </c>
      <c r="F31" s="2" t="inlineStr">
        <is>
          <t>Codex自动执行</t>
        </is>
      </c>
      <c r="G31" s="2" t="inlineStr">
        <is>
          <t>PARTIAL</t>
        </is>
      </c>
      <c r="H31" s="2" t="inlineStr">
        <is>
          <t>已执行关联场景；未覆盖所有必测variant</t>
        </is>
      </c>
      <c r="I31" s="2" t="inlineStr"/>
      <c r="J31" s="2" t="inlineStr">
        <is>
          <t>验收证据/integration.json</t>
        </is>
      </c>
      <c r="K31" s="2" t="inlineStr">
        <is>
          <t>2026-10-06T16:45:13.806207+00:00</t>
        </is>
      </c>
      <c r="L31" s="2" t="inlineStr">
        <is>
          <t>全变体通过且成员复核后才能标整条PASS；自动执行不代替人工签名</t>
        </is>
      </c>
    </row>
    <row r="32" ht="36" customHeight="1">
      <c r="A32" s="2" t="inlineStr">
        <is>
          <t>TC-TEA-001</t>
        </is>
      </c>
      <c r="B32" s="2" t="inlineStr">
        <is>
          <t>RC-AUTO-2026-10-07</t>
        </is>
      </c>
      <c r="C32" s="2" t="inlineStr">
        <is>
          <t>V0.2.0候选（分阶段构建，见证据时间）</t>
        </is>
      </c>
      <c r="D32" s="2" t="inlineStr">
        <is>
          <t>Win/Java21/MySQL8.4/Chrome</t>
        </is>
      </c>
      <c r="E32" s="2" t="inlineStr">
        <is>
          <t>registration_test；browser基线使用demo</t>
        </is>
      </c>
      <c r="F32" s="2" t="inlineStr">
        <is>
          <t>Codex自动执行</t>
        </is>
      </c>
      <c r="G32" s="2" t="inlineStr">
        <is>
          <t>PARTIAL</t>
        </is>
      </c>
      <c r="H32" s="2" t="inlineStr">
        <is>
          <t>已执行关联场景；未覆盖所有必测variant</t>
        </is>
      </c>
      <c r="I32" s="2" t="inlineStr"/>
      <c r="J32" s="2" t="inlineStr">
        <is>
          <t>验收证据/browser.json</t>
        </is>
      </c>
      <c r="K32" s="2" t="inlineStr">
        <is>
          <t>2026-10-06T16:57:56.747Z</t>
        </is>
      </c>
      <c r="L32" s="2" t="inlineStr">
        <is>
          <t>全变体通过且成员复核后才能标整条PASS；自动执行不代替人工签名</t>
        </is>
      </c>
    </row>
    <row r="33" ht="36" customHeight="1">
      <c r="A33" s="2" t="inlineStr">
        <is>
          <t>TC-TEA-002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NOT_RUN</t>
        </is>
      </c>
      <c r="H33" s="2" t="inlineStr"/>
      <c r="I33" s="2" t="inlineStr"/>
      <c r="J33" s="2" t="inlineStr"/>
      <c r="K33" s="2" t="inlineStr"/>
      <c r="L33" s="2" t="inlineStr"/>
    </row>
    <row r="34" ht="36" customHeight="1">
      <c r="A34" s="2" t="inlineStr">
        <is>
          <t>TC-TEA-003</t>
        </is>
      </c>
      <c r="B34" s="2" t="inlineStr">
        <is>
          <t>RC-AUTO-2026-10-07</t>
        </is>
      </c>
      <c r="C34" s="2" t="inlineStr">
        <is>
          <t>V0.2.0候选（分阶段构建，见证据时间）</t>
        </is>
      </c>
      <c r="D34" s="2" t="inlineStr">
        <is>
          <t>Win/Java21/MySQL8.4/Chrome</t>
        </is>
      </c>
      <c r="E34" s="2" t="inlineStr">
        <is>
          <t>registration_test；browser基线使用demo</t>
        </is>
      </c>
      <c r="F34" s="2" t="inlineStr">
        <is>
          <t>Codex自动执行</t>
        </is>
      </c>
      <c r="G34" s="2" t="inlineStr">
        <is>
          <t>PARTIAL</t>
        </is>
      </c>
      <c r="H34" s="2" t="inlineStr">
        <is>
          <t>已执行关联场景；未覆盖所有必测variant</t>
        </is>
      </c>
      <c r="I34" s="2" t="inlineStr"/>
      <c r="J34" s="2" t="inlineStr">
        <is>
          <t>验收证据/algorithm-unit.xml</t>
        </is>
      </c>
      <c r="K34" s="2" t="inlineStr">
        <is>
          <t>2026-10-07</t>
        </is>
      </c>
      <c r="L34" s="2" t="inlineStr">
        <is>
          <t>全变体通过且成员复核后才能标整条PASS；自动执行不代替人工签名</t>
        </is>
      </c>
    </row>
    <row r="35" ht="36" customHeight="1">
      <c r="A35" s="2" t="inlineStr">
        <is>
          <t>TC-TEA-004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NOT_RUN</t>
        </is>
      </c>
      <c r="H35" s="2" t="inlineStr"/>
      <c r="I35" s="2" t="inlineStr"/>
      <c r="J35" s="2" t="inlineStr"/>
      <c r="K35" s="2" t="inlineStr"/>
      <c r="L35" s="2" t="inlineStr"/>
    </row>
    <row r="36" ht="36" customHeight="1">
      <c r="A36" s="2" t="inlineStr">
        <is>
          <t>TC-TEA-005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NOT_RUN</t>
        </is>
      </c>
      <c r="H36" s="2" t="inlineStr"/>
      <c r="I36" s="2" t="inlineStr"/>
      <c r="J36" s="2" t="inlineStr"/>
      <c r="K36" s="2" t="inlineStr"/>
      <c r="L36" s="2" t="inlineStr"/>
    </row>
    <row r="37" ht="36" customHeight="1">
      <c r="A37" s="2" t="inlineStr">
        <is>
          <t>TC-TEA-006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NOT_RUN</t>
        </is>
      </c>
      <c r="H37" s="2" t="inlineStr"/>
      <c r="I37" s="2" t="inlineStr"/>
      <c r="J37" s="2" t="inlineStr"/>
      <c r="K37" s="2" t="inlineStr"/>
      <c r="L37" s="2" t="inlineStr"/>
    </row>
    <row r="38" ht="36" customHeight="1">
      <c r="A38" s="2" t="inlineStr">
        <is>
          <t>TC-GRADE-001</t>
        </is>
      </c>
      <c r="B38" s="2" t="inlineStr">
        <is>
          <t>RC-AUTO-2026-10-07</t>
        </is>
      </c>
      <c r="C38" s="2" t="inlineStr">
        <is>
          <t>V0.2.0候选（分阶段构建，见证据时间）</t>
        </is>
      </c>
      <c r="D38" s="2" t="inlineStr">
        <is>
          <t>Win/Java21/MySQL8.4/Chrome</t>
        </is>
      </c>
      <c r="E38" s="2" t="inlineStr">
        <is>
          <t>registration_test；browser基线使用demo</t>
        </is>
      </c>
      <c r="F38" s="2" t="inlineStr">
        <is>
          <t>Codex自动执行</t>
        </is>
      </c>
      <c r="G38" s="2" t="inlineStr">
        <is>
          <t>PARTIAL</t>
        </is>
      </c>
      <c r="H38" s="2" t="inlineStr">
        <is>
          <t>已执行关联场景；未覆盖所有必测variant</t>
        </is>
      </c>
      <c r="I38" s="2" t="inlineStr"/>
      <c r="J38" s="2" t="inlineStr">
        <is>
          <t>验收证据/acceptance.json;验收证据/browser.json;验收证据/integration.json;验收证据/rehearsal.json</t>
        </is>
      </c>
      <c r="K38" s="2" t="inlineStr">
        <is>
          <t>2026-10-06T16:57:56.747Z</t>
        </is>
      </c>
      <c r="L38" s="2" t="inlineStr">
        <is>
          <t>全变体通过且成员复核后才能标整条PASS；自动执行不代替人工签名</t>
        </is>
      </c>
    </row>
    <row r="39" ht="36" customHeight="1">
      <c r="A39" s="2" t="inlineStr">
        <is>
          <t>TC-GRADE-002</t>
        </is>
      </c>
      <c r="B39" s="2" t="inlineStr">
        <is>
          <t>RC-AUTO-2026-10-07</t>
        </is>
      </c>
      <c r="C39" s="2" t="inlineStr">
        <is>
          <t>V0.2.0候选（分阶段构建，见证据时间）</t>
        </is>
      </c>
      <c r="D39" s="2" t="inlineStr">
        <is>
          <t>Win/Java21/MySQL8.4/Chrome</t>
        </is>
      </c>
      <c r="E39" s="2" t="inlineStr">
        <is>
          <t>registration_test；browser基线使用demo</t>
        </is>
      </c>
      <c r="F39" s="2" t="inlineStr">
        <is>
          <t>Codex自动执行</t>
        </is>
      </c>
      <c r="G39" s="2" t="inlineStr">
        <is>
          <t>PARTIAL</t>
        </is>
      </c>
      <c r="H39" s="2" t="inlineStr">
        <is>
          <t>已执行关联场景；未覆盖所有必测variant</t>
        </is>
      </c>
      <c r="I39" s="2" t="inlineStr"/>
      <c r="J39" s="2" t="inlineStr">
        <is>
          <t>验收证据/acceptance.json;验收证据/integration.json</t>
        </is>
      </c>
      <c r="K39" s="2" t="inlineStr">
        <is>
          <t>2026-10-06T16:45:38.735388+00:00</t>
        </is>
      </c>
      <c r="L39" s="2" t="inlineStr">
        <is>
          <t>全变体通过且成员复核后才能标整条PASS；自动执行不代替人工签名</t>
        </is>
      </c>
    </row>
    <row r="40" ht="36" customHeight="1">
      <c r="A40" s="2" t="inlineStr">
        <is>
          <t>TC-GRADE-003</t>
        </is>
      </c>
      <c r="B40" s="2" t="inlineStr">
        <is>
          <t>RC-AUTO-2026-10-07</t>
        </is>
      </c>
      <c r="C40" s="2" t="inlineStr">
        <is>
          <t>V0.2.0候选（分阶段构建，见证据时间）</t>
        </is>
      </c>
      <c r="D40" s="2" t="inlineStr">
        <is>
          <t>Win/Java21/MySQL8.4/Chrome</t>
        </is>
      </c>
      <c r="E40" s="2" t="inlineStr">
        <is>
          <t>registration_test；browser基线使用demo</t>
        </is>
      </c>
      <c r="F40" s="2" t="inlineStr">
        <is>
          <t>Codex自动执行</t>
        </is>
      </c>
      <c r="G40" s="2" t="inlineStr">
        <is>
          <t>PARTIAL</t>
        </is>
      </c>
      <c r="H40" s="2" t="inlineStr">
        <is>
          <t>已执行关联场景；未覆盖所有必测variant</t>
        </is>
      </c>
      <c r="I40" s="2" t="inlineStr"/>
      <c r="J40" s="2" t="inlineStr">
        <is>
          <t>验收证据/integration.json</t>
        </is>
      </c>
      <c r="K40" s="2" t="inlineStr">
        <is>
          <t>2026-10-06T16:45:13.806207+00:00</t>
        </is>
      </c>
      <c r="L40" s="2" t="inlineStr">
        <is>
          <t>全变体通过且成员复核后才能标整条PASS；自动执行不代替人工签名</t>
        </is>
      </c>
    </row>
    <row r="41" ht="36" customHeight="1">
      <c r="A41" s="2" t="inlineStr">
        <is>
          <t>TC-GRADE-004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NOT_RUN</t>
        </is>
      </c>
      <c r="H41" s="2" t="inlineStr"/>
      <c r="I41" s="2" t="inlineStr"/>
      <c r="J41" s="2" t="inlineStr"/>
      <c r="K41" s="2" t="inlineStr"/>
      <c r="L41" s="2" t="inlineStr"/>
    </row>
    <row r="42" ht="36" customHeight="1">
      <c r="A42" s="2" t="inlineStr">
        <is>
          <t>TC-GRADE-005</t>
        </is>
      </c>
      <c r="B42" s="2" t="inlineStr">
        <is>
          <t>RC-AUTO-2026-10-07</t>
        </is>
      </c>
      <c r="C42" s="2" t="inlineStr">
        <is>
          <t>V0.2.0候选（分阶段构建，见证据时间）</t>
        </is>
      </c>
      <c r="D42" s="2" t="inlineStr">
        <is>
          <t>Win/Java21/MySQL8.4/Chrome</t>
        </is>
      </c>
      <c r="E42" s="2" t="inlineStr">
        <is>
          <t>registration_test；browser基线使用demo</t>
        </is>
      </c>
      <c r="F42" s="2" t="inlineStr">
        <is>
          <t>Codex自动执行</t>
        </is>
      </c>
      <c r="G42" s="2" t="inlineStr">
        <is>
          <t>PARTIAL</t>
        </is>
      </c>
      <c r="H42" s="2" t="inlineStr">
        <is>
          <t>已执行关联场景；未覆盖所有必测variant</t>
        </is>
      </c>
      <c r="I42" s="2" t="inlineStr"/>
      <c r="J42" s="2" t="inlineStr">
        <is>
          <t>验收证据/acceptance.json</t>
        </is>
      </c>
      <c r="K42" s="2" t="inlineStr">
        <is>
          <t>2026-10-06T16:45:38.735388+00:00</t>
        </is>
      </c>
      <c r="L42" s="2" t="inlineStr">
        <is>
          <t>全变体通过且成员复核后才能标整条PASS；自动执行不代替人工签名</t>
        </is>
      </c>
    </row>
    <row r="43" ht="36" customHeight="1">
      <c r="A43" s="2" t="inlineStr">
        <is>
          <t>TC-GRADE-006</t>
        </is>
      </c>
      <c r="B43" s="2" t="inlineStr">
        <is>
          <t>RC-AUTO-2026-10-07</t>
        </is>
      </c>
      <c r="C43" s="2" t="inlineStr">
        <is>
          <t>V0.2.0候选（分阶段构建，见证据时间）</t>
        </is>
      </c>
      <c r="D43" s="2" t="inlineStr">
        <is>
          <t>Win/Java21/MySQL8.4/Chrome</t>
        </is>
      </c>
      <c r="E43" s="2" t="inlineStr">
        <is>
          <t>registration_test；browser基线使用demo</t>
        </is>
      </c>
      <c r="F43" s="2" t="inlineStr">
        <is>
          <t>Codex自动执行</t>
        </is>
      </c>
      <c r="G43" s="2" t="inlineStr">
        <is>
          <t>PARTIAL</t>
        </is>
      </c>
      <c r="H43" s="2" t="inlineStr">
        <is>
          <t>已执行关联场景；未覆盖所有必测variant</t>
        </is>
      </c>
      <c r="I43" s="2" t="inlineStr"/>
      <c r="J43" s="2" t="inlineStr">
        <is>
          <t>验收证据/browser.json;验收证据/rehearsal.json</t>
        </is>
      </c>
      <c r="K43" s="2" t="inlineStr">
        <is>
          <t>2026-10-06T16:57:56.747Z</t>
        </is>
      </c>
      <c r="L43" s="2" t="inlineStr">
        <is>
          <t>全变体通过且成员复核后才能标整条PASS；自动执行不代替人工签名</t>
        </is>
      </c>
    </row>
    <row r="44" ht="36" customHeight="1">
      <c r="A44" s="2" t="inlineStr">
        <is>
          <t>TC-GRADE-007</t>
        </is>
      </c>
      <c r="B44" s="2" t="inlineStr">
        <is>
          <t>RC-AUTO-2026-10-07</t>
        </is>
      </c>
      <c r="C44" s="2" t="inlineStr">
        <is>
          <t>V0.2.0候选（分阶段构建，见证据时间）</t>
        </is>
      </c>
      <c r="D44" s="2" t="inlineStr">
        <is>
          <t>Win/Java21/MySQL8.4/Chrome</t>
        </is>
      </c>
      <c r="E44" s="2" t="inlineStr">
        <is>
          <t>registration_test；browser基线使用demo</t>
        </is>
      </c>
      <c r="F44" s="2" t="inlineStr">
        <is>
          <t>Codex自动执行</t>
        </is>
      </c>
      <c r="G44" s="2" t="inlineStr">
        <is>
          <t>PARTIAL</t>
        </is>
      </c>
      <c r="H44" s="2" t="inlineStr">
        <is>
          <t>已执行关联场景；未覆盖所有必测variant</t>
        </is>
      </c>
      <c r="I44" s="2" t="inlineStr"/>
      <c r="J44" s="2" t="inlineStr">
        <is>
          <t>验收证据/integration.json</t>
        </is>
      </c>
      <c r="K44" s="2" t="inlineStr">
        <is>
          <t>2026-10-06T16:45:13.806207+00:00</t>
        </is>
      </c>
      <c r="L44" s="2" t="inlineStr">
        <is>
          <t>全变体通过且成员复核后才能标整条PASS；自动执行不代替人工签名</t>
        </is>
      </c>
    </row>
    <row r="45" ht="36" customHeight="1">
      <c r="A45" s="2" t="inlineStr">
        <is>
          <t>TC-GRADE-008</t>
        </is>
      </c>
      <c r="B45" s="2" t="inlineStr">
        <is>
          <t>RC-AUTO-2026-10-07</t>
        </is>
      </c>
      <c r="C45" s="2" t="inlineStr">
        <is>
          <t>V0.2.0候选（分阶段构建，见证据时间）</t>
        </is>
      </c>
      <c r="D45" s="2" t="inlineStr">
        <is>
          <t>Win/Java21/MySQL8.4/Chrome</t>
        </is>
      </c>
      <c r="E45" s="2" t="inlineStr">
        <is>
          <t>registration_test；browser基线使用demo</t>
        </is>
      </c>
      <c r="F45" s="2" t="inlineStr">
        <is>
          <t>Codex自动执行</t>
        </is>
      </c>
      <c r="G45" s="2" t="inlineStr">
        <is>
          <t>PARTIAL</t>
        </is>
      </c>
      <c r="H45" s="2" t="inlineStr">
        <is>
          <t>已执行关联场景；未覆盖所有必测variant</t>
        </is>
      </c>
      <c r="I45" s="2" t="inlineStr"/>
      <c r="J45" s="2" t="inlineStr">
        <is>
          <t>验收证据/acceptance.json</t>
        </is>
      </c>
      <c r="K45" s="2" t="inlineStr">
        <is>
          <t>2026-10-06T16:45:38.735388+00:00</t>
        </is>
      </c>
      <c r="L45" s="2" t="inlineStr">
        <is>
          <t>全变体通过且成员复核后才能标整条PASS；自动执行不代替人工签名</t>
        </is>
      </c>
    </row>
    <row r="46" ht="36" customHeight="1">
      <c r="A46" s="2" t="inlineStr">
        <is>
          <t>TC-PEOPLE-001</t>
        </is>
      </c>
      <c r="B46" s="2" t="inlineStr">
        <is>
          <t>RC-AUTO-2026-10-07</t>
        </is>
      </c>
      <c r="C46" s="2" t="inlineStr">
        <is>
          <t>V0.2.0候选（分阶段构建，见证据时间）</t>
        </is>
      </c>
      <c r="D46" s="2" t="inlineStr">
        <is>
          <t>Win/Java21/MySQL8.4/Chrome</t>
        </is>
      </c>
      <c r="E46" s="2" t="inlineStr">
        <is>
          <t>registration_test；browser基线使用demo</t>
        </is>
      </c>
      <c r="F46" s="2" t="inlineStr">
        <is>
          <t>Codex自动执行</t>
        </is>
      </c>
      <c r="G46" s="2" t="inlineStr">
        <is>
          <t>PARTIAL</t>
        </is>
      </c>
      <c r="H46" s="2" t="inlineStr">
        <is>
          <t>已执行关联场景；未覆盖所有必测variant</t>
        </is>
      </c>
      <c r="I46" s="2" t="inlineStr"/>
      <c r="J46" s="2" t="inlineStr">
        <is>
          <t>验收证据/acceptance.json;验收证据/integration.json;验收证据/rehearsal.json</t>
        </is>
      </c>
      <c r="K46" s="2" t="inlineStr">
        <is>
          <t>2026-10-06T16:57:49.954Z</t>
        </is>
      </c>
      <c r="L46" s="2" t="inlineStr">
        <is>
          <t>全变体通过且成员复核后才能标整条PASS；自动执行不代替人工签名</t>
        </is>
      </c>
    </row>
    <row r="47" ht="36" customHeight="1">
      <c r="A47" s="2" t="inlineStr">
        <is>
          <t>TC-PEOPLE-002</t>
        </is>
      </c>
      <c r="B47" s="2" t="inlineStr">
        <is>
          <t>RC-AUTO-2026-10-07</t>
        </is>
      </c>
      <c r="C47" s="2" t="inlineStr">
        <is>
          <t>V0.2.0候选（分阶段构建，见证据时间）</t>
        </is>
      </c>
      <c r="D47" s="2" t="inlineStr">
        <is>
          <t>Win/Java21/MySQL8.4/Chrome</t>
        </is>
      </c>
      <c r="E47" s="2" t="inlineStr">
        <is>
          <t>registration_test；browser基线使用demo</t>
        </is>
      </c>
      <c r="F47" s="2" t="inlineStr">
        <is>
          <t>Codex自动执行</t>
        </is>
      </c>
      <c r="G47" s="2" t="inlineStr">
        <is>
          <t>PARTIAL</t>
        </is>
      </c>
      <c r="H47" s="2" t="inlineStr">
        <is>
          <t>已执行关联场景；未覆盖所有必测variant</t>
        </is>
      </c>
      <c r="I47" s="2" t="inlineStr"/>
      <c r="J47" s="2" t="inlineStr">
        <is>
          <t>验收证据/acceptance.json</t>
        </is>
      </c>
      <c r="K47" s="2" t="inlineStr">
        <is>
          <t>2026-10-06T16:45:38.735388+00:00</t>
        </is>
      </c>
      <c r="L47" s="2" t="inlineStr">
        <is>
          <t>全变体通过且成员复核后才能标整条PASS；自动执行不代替人工签名</t>
        </is>
      </c>
    </row>
    <row r="48" ht="36" customHeight="1">
      <c r="A48" s="2" t="inlineStr">
        <is>
          <t>TC-PEOPLE-003</t>
        </is>
      </c>
      <c r="B48" s="2" t="inlineStr">
        <is>
          <t>RC-AUTO-2026-10-07</t>
        </is>
      </c>
      <c r="C48" s="2" t="inlineStr">
        <is>
          <t>V0.2.0候选（分阶段构建，见证据时间）</t>
        </is>
      </c>
      <c r="D48" s="2" t="inlineStr">
        <is>
          <t>Win/Java21/MySQL8.4/Chrome</t>
        </is>
      </c>
      <c r="E48" s="2" t="inlineStr">
        <is>
          <t>registration_test；browser基线使用demo</t>
        </is>
      </c>
      <c r="F48" s="2" t="inlineStr">
        <is>
          <t>Codex自动执行</t>
        </is>
      </c>
      <c r="G48" s="2" t="inlineStr">
        <is>
          <t>PARTIAL</t>
        </is>
      </c>
      <c r="H48" s="2" t="inlineStr">
        <is>
          <t>已执行关联场景；未覆盖所有必测variant</t>
        </is>
      </c>
      <c r="I48" s="2" t="inlineStr"/>
      <c r="J48" s="2" t="inlineStr">
        <is>
          <t>验收证据/acceptance.json</t>
        </is>
      </c>
      <c r="K48" s="2" t="inlineStr">
        <is>
          <t>2026-10-06T16:45:38.735388+00:00</t>
        </is>
      </c>
      <c r="L48" s="2" t="inlineStr">
        <is>
          <t>全变体通过且成员复核后才能标整条PASS；自动执行不代替人工签名</t>
        </is>
      </c>
    </row>
    <row r="49" ht="36" customHeight="1">
      <c r="A49" s="2" t="inlineStr">
        <is>
          <t>TC-PEOPLE-004</t>
        </is>
      </c>
      <c r="B49" s="2" t="inlineStr">
        <is>
          <t>RC-AUTO-2026-10-07</t>
        </is>
      </c>
      <c r="C49" s="2" t="inlineStr">
        <is>
          <t>V0.2.0候选（分阶段构建，见证据时间）</t>
        </is>
      </c>
      <c r="D49" s="2" t="inlineStr">
        <is>
          <t>Win/Java21/MySQL8.4/Chrome</t>
        </is>
      </c>
      <c r="E49" s="2" t="inlineStr">
        <is>
          <t>registration_test；browser基线使用demo</t>
        </is>
      </c>
      <c r="F49" s="2" t="inlineStr">
        <is>
          <t>Codex自动执行</t>
        </is>
      </c>
      <c r="G49" s="2" t="inlineStr">
        <is>
          <t>PARTIAL</t>
        </is>
      </c>
      <c r="H49" s="2" t="inlineStr">
        <is>
          <t>已执行关联场景；未覆盖所有必测variant</t>
        </is>
      </c>
      <c r="I49" s="2" t="inlineStr"/>
      <c r="J49" s="2" t="inlineStr">
        <is>
          <t>验收证据/integration.json</t>
        </is>
      </c>
      <c r="K49" s="2" t="inlineStr">
        <is>
          <t>2026-10-06T16:45:13.806207+00:00</t>
        </is>
      </c>
      <c r="L49" s="2" t="inlineStr">
        <is>
          <t>全变体通过且成员复核后才能标整条PASS；自动执行不代替人工签名</t>
        </is>
      </c>
    </row>
    <row r="50" ht="36" customHeight="1">
      <c r="A50" s="2" t="inlineStr">
        <is>
          <t>TC-PEOPLE-005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NOT_RUN</t>
        </is>
      </c>
      <c r="H50" s="2" t="inlineStr"/>
      <c r="I50" s="2" t="inlineStr"/>
      <c r="J50" s="2" t="inlineStr"/>
      <c r="K50" s="2" t="inlineStr"/>
      <c r="L50" s="2" t="inlineStr"/>
    </row>
    <row r="51" ht="36" customHeight="1">
      <c r="A51" s="2" t="inlineStr">
        <is>
          <t>TC-PEOPLE-006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NOT_RUN</t>
        </is>
      </c>
      <c r="H51" s="2" t="inlineStr"/>
      <c r="I51" s="2" t="inlineStr"/>
      <c r="J51" s="2" t="inlineStr"/>
      <c r="K51" s="2" t="inlineStr"/>
      <c r="L51" s="2" t="inlineStr"/>
    </row>
    <row r="52" ht="36" customHeight="1">
      <c r="A52" s="2" t="inlineStr">
        <is>
          <t>TC-PEOPLE-007</t>
        </is>
      </c>
      <c r="B52" s="2" t="inlineStr">
        <is>
          <t>RC-AUTO-2026-10-07</t>
        </is>
      </c>
      <c r="C52" s="2" t="inlineStr">
        <is>
          <t>V0.2.0候选（分阶段构建，见证据时间）</t>
        </is>
      </c>
      <c r="D52" s="2" t="inlineStr">
        <is>
          <t>Win/Java21/MySQL8.4/Chrome</t>
        </is>
      </c>
      <c r="E52" s="2" t="inlineStr">
        <is>
          <t>registration_test；browser基线使用demo</t>
        </is>
      </c>
      <c r="F52" s="2" t="inlineStr">
        <is>
          <t>Codex自动执行</t>
        </is>
      </c>
      <c r="G52" s="2" t="inlineStr">
        <is>
          <t>PARTIAL</t>
        </is>
      </c>
      <c r="H52" s="2" t="inlineStr">
        <is>
          <t>已执行关联场景；未覆盖所有必测variant</t>
        </is>
      </c>
      <c r="I52" s="2" t="inlineStr"/>
      <c r="J52" s="2" t="inlineStr">
        <is>
          <t>验收证据/acceptance.json</t>
        </is>
      </c>
      <c r="K52" s="2" t="inlineStr">
        <is>
          <t>2026-10-06T16:45:38.735388+00:00</t>
        </is>
      </c>
      <c r="L52" s="2" t="inlineStr">
        <is>
          <t>全变体通过且成员复核后才能标整条PASS；自动执行不代替人工签名</t>
        </is>
      </c>
    </row>
    <row r="53" ht="36" customHeight="1">
      <c r="A53" s="2" t="inlineStr">
        <is>
          <t>TC-PEOPLE-008</t>
        </is>
      </c>
      <c r="B53" s="2" t="inlineStr">
        <is>
          <t>RC-AUTO-2026-10-07</t>
        </is>
      </c>
      <c r="C53" s="2" t="inlineStr">
        <is>
          <t>V0.2.0候选（分阶段构建，见证据时间）</t>
        </is>
      </c>
      <c r="D53" s="2" t="inlineStr">
        <is>
          <t>Win/Java21/MySQL8.4/Chrome</t>
        </is>
      </c>
      <c r="E53" s="2" t="inlineStr">
        <is>
          <t>registration_test；browser基线使用demo</t>
        </is>
      </c>
      <c r="F53" s="2" t="inlineStr">
        <is>
          <t>Codex自动执行</t>
        </is>
      </c>
      <c r="G53" s="2" t="inlineStr">
        <is>
          <t>PARTIAL</t>
        </is>
      </c>
      <c r="H53" s="2" t="inlineStr">
        <is>
          <t>已执行关联场景；未覆盖所有必测variant</t>
        </is>
      </c>
      <c r="I53" s="2" t="inlineStr"/>
      <c r="J53" s="2" t="inlineStr">
        <is>
          <t>验收证据/acceptance.json</t>
        </is>
      </c>
      <c r="K53" s="2" t="inlineStr">
        <is>
          <t>2026-10-06T16:45:38.735388+00:00</t>
        </is>
      </c>
      <c r="L53" s="2" t="inlineStr">
        <is>
          <t>全变体通过且成员复核后才能标整条PASS；自动执行不代替人工签名</t>
        </is>
      </c>
    </row>
    <row r="54" ht="36" customHeight="1">
      <c r="A54" s="2" t="inlineStr">
        <is>
          <t>TC-PEOPLE-009</t>
        </is>
      </c>
      <c r="B54" s="2" t="inlineStr">
        <is>
          <t>RC-AUTO-2026-10-07</t>
        </is>
      </c>
      <c r="C54" s="2" t="inlineStr">
        <is>
          <t>V0.2.0候选（分阶段构建，见证据时间）</t>
        </is>
      </c>
      <c r="D54" s="2" t="inlineStr">
        <is>
          <t>Win/Java21/MySQL8.4/Chrome</t>
        </is>
      </c>
      <c r="E54" s="2" t="inlineStr">
        <is>
          <t>registration_test；browser基线使用demo</t>
        </is>
      </c>
      <c r="F54" s="2" t="inlineStr">
        <is>
          <t>Codex自动执行</t>
        </is>
      </c>
      <c r="G54" s="2" t="inlineStr">
        <is>
          <t>PARTIAL</t>
        </is>
      </c>
      <c r="H54" s="2" t="inlineStr">
        <is>
          <t>已执行关联场景；未覆盖所有必测variant</t>
        </is>
      </c>
      <c r="I54" s="2" t="inlineStr"/>
      <c r="J54" s="2" t="inlineStr">
        <is>
          <t>验收证据/acceptance.json</t>
        </is>
      </c>
      <c r="K54" s="2" t="inlineStr">
        <is>
          <t>2026-10-06T16:45:38.735388+00:00</t>
        </is>
      </c>
      <c r="L54" s="2" t="inlineStr">
        <is>
          <t>全变体通过且成员复核后才能标整条PASS；自动执行不代替人工签名</t>
        </is>
      </c>
    </row>
    <row r="55" ht="36" customHeight="1">
      <c r="A55" s="2" t="inlineStr">
        <is>
          <t>TC-PEOPLE-010</t>
        </is>
      </c>
      <c r="B55" s="2" t="inlineStr">
        <is>
          <t>RC-AUTO-2026-10-07</t>
        </is>
      </c>
      <c r="C55" s="2" t="inlineStr">
        <is>
          <t>V0.2.0候选（分阶段构建，见证据时间）</t>
        </is>
      </c>
      <c r="D55" s="2" t="inlineStr">
        <is>
          <t>Win/Java21/MySQL8.4/Chrome</t>
        </is>
      </c>
      <c r="E55" s="2" t="inlineStr">
        <is>
          <t>registration_test；browser基线使用demo</t>
        </is>
      </c>
      <c r="F55" s="2" t="inlineStr">
        <is>
          <t>Codex自动执行</t>
        </is>
      </c>
      <c r="G55" s="2" t="inlineStr">
        <is>
          <t>PARTIAL</t>
        </is>
      </c>
      <c r="H55" s="2" t="inlineStr">
        <is>
          <t>已执行关联场景；未覆盖所有必测variant</t>
        </is>
      </c>
      <c r="I55" s="2" t="inlineStr"/>
      <c r="J55" s="2" t="inlineStr">
        <is>
          <t>验收证据/acceptance.json</t>
        </is>
      </c>
      <c r="K55" s="2" t="inlineStr">
        <is>
          <t>2026-10-06T16:45:38.735388+00:00</t>
        </is>
      </c>
      <c r="L55" s="2" t="inlineStr">
        <is>
          <t>全变体通过且成员复核后才能标整条PASS；自动执行不代替人工签名</t>
        </is>
      </c>
    </row>
    <row r="56" ht="36" customHeight="1">
      <c r="A56" s="2" t="inlineStr">
        <is>
          <t>TC-PEOPLE-011</t>
        </is>
      </c>
      <c r="B56" s="2" t="inlineStr">
        <is>
          <t>RC-AUTO-2026-10-07</t>
        </is>
      </c>
      <c r="C56" s="2" t="inlineStr">
        <is>
          <t>V0.2.0候选（分阶段构建，见证据时间）</t>
        </is>
      </c>
      <c r="D56" s="2" t="inlineStr">
        <is>
          <t>Win/Java21/MySQL8.4/Chrome</t>
        </is>
      </c>
      <c r="E56" s="2" t="inlineStr">
        <is>
          <t>registration_test；browser基线使用demo</t>
        </is>
      </c>
      <c r="F56" s="2" t="inlineStr">
        <is>
          <t>Codex自动执行</t>
        </is>
      </c>
      <c r="G56" s="2" t="inlineStr">
        <is>
          <t>PARTIAL</t>
        </is>
      </c>
      <c r="H56" s="2" t="inlineStr">
        <is>
          <t>已执行关联场景；未覆盖所有必测variant</t>
        </is>
      </c>
      <c r="I56" s="2" t="inlineStr"/>
      <c r="J56" s="2" t="inlineStr">
        <is>
          <t>验收证据/acceptance.json</t>
        </is>
      </c>
      <c r="K56" s="2" t="inlineStr">
        <is>
          <t>2026-10-06T16:45:38.735388+00:00</t>
        </is>
      </c>
      <c r="L56" s="2" t="inlineStr">
        <is>
          <t>全变体通过且成员复核后才能标整条PASS；自动执行不代替人工签名</t>
        </is>
      </c>
    </row>
    <row r="57" ht="36" customHeight="1">
      <c r="A57" s="2" t="inlineStr">
        <is>
          <t>TC-PEOPLE-012</t>
        </is>
      </c>
      <c r="B57" s="2" t="inlineStr"/>
      <c r="C57" s="2" t="inlineStr"/>
      <c r="D57" s="2" t="inlineStr"/>
      <c r="E57" s="2" t="inlineStr"/>
      <c r="F57" s="2" t="inlineStr"/>
      <c r="G57" s="2" t="inlineStr">
        <is>
          <t>NOT_RUN</t>
        </is>
      </c>
      <c r="H57" s="2" t="inlineStr"/>
      <c r="I57" s="2" t="inlineStr"/>
      <c r="J57" s="2" t="inlineStr"/>
      <c r="K57" s="2" t="inlineStr"/>
      <c r="L57" s="2" t="inlineStr"/>
    </row>
    <row r="58" ht="36" customHeight="1">
      <c r="A58" s="2" t="inlineStr">
        <is>
          <t>TC-PEOPLE-013</t>
        </is>
      </c>
      <c r="B58" s="2" t="inlineStr">
        <is>
          <t>RC-AUTO-2026-10-07</t>
        </is>
      </c>
      <c r="C58" s="2" t="inlineStr">
        <is>
          <t>V0.2.0候选（分阶段构建，见证据时间）</t>
        </is>
      </c>
      <c r="D58" s="2" t="inlineStr">
        <is>
          <t>Win/Java21/MySQL8.4/Chrome</t>
        </is>
      </c>
      <c r="E58" s="2" t="inlineStr">
        <is>
          <t>registration_test；browser基线使用demo</t>
        </is>
      </c>
      <c r="F58" s="2" t="inlineStr">
        <is>
          <t>Codex自动执行</t>
        </is>
      </c>
      <c r="G58" s="2" t="inlineStr">
        <is>
          <t>PARTIAL</t>
        </is>
      </c>
      <c r="H58" s="2" t="inlineStr">
        <is>
          <t>已执行关联场景；未覆盖所有必测variant</t>
        </is>
      </c>
      <c r="I58" s="2" t="inlineStr"/>
      <c r="J58" s="2" t="inlineStr">
        <is>
          <t>验收证据/acceptance.json;验收证据/rehearsal.json</t>
        </is>
      </c>
      <c r="K58" s="2" t="inlineStr">
        <is>
          <t>2026-10-06T16:57:49.954Z</t>
        </is>
      </c>
      <c r="L58" s="2" t="inlineStr">
        <is>
          <t>全变体通过且成员复核后才能标整条PASS；自动执行不代替人工签名</t>
        </is>
      </c>
    </row>
    <row r="59" ht="36" customHeight="1">
      <c r="A59" s="2" t="inlineStr">
        <is>
          <t>TC-CLOSE-001</t>
        </is>
      </c>
      <c r="B59" s="2" t="inlineStr">
        <is>
          <t>RC-AUTO-2026-10-07</t>
        </is>
      </c>
      <c r="C59" s="2" t="inlineStr">
        <is>
          <t>V0.2.0候选（分阶段构建，见证据时间）</t>
        </is>
      </c>
      <c r="D59" s="2" t="inlineStr">
        <is>
          <t>Win/Java21/MySQL8.4/Chrome</t>
        </is>
      </c>
      <c r="E59" s="2" t="inlineStr">
        <is>
          <t>registration_test；browser基线使用demo</t>
        </is>
      </c>
      <c r="F59" s="2" t="inlineStr">
        <is>
          <t>Codex自动执行</t>
        </is>
      </c>
      <c r="G59" s="2" t="inlineStr">
        <is>
          <t>PARTIAL</t>
        </is>
      </c>
      <c r="H59" s="2" t="inlineStr">
        <is>
          <t>已执行关联场景；未覆盖所有必测variant</t>
        </is>
      </c>
      <c r="I59" s="2" t="inlineStr"/>
      <c r="J59" s="2" t="inlineStr">
        <is>
          <t>验收证据/integration.json;验收证据/rehearsal.json</t>
        </is>
      </c>
      <c r="K59" s="2" t="inlineStr">
        <is>
          <t>2026-10-06T16:57:49.954Z</t>
        </is>
      </c>
      <c r="L59" s="2" t="inlineStr">
        <is>
          <t>全变体通过且成员复核后才能标整条PASS；自动执行不代替人工签名</t>
        </is>
      </c>
    </row>
    <row r="60" ht="36" customHeight="1">
      <c r="A60" s="2" t="inlineStr">
        <is>
          <t>TC-CLOSE-002</t>
        </is>
      </c>
      <c r="B60" s="2" t="inlineStr">
        <is>
          <t>RC-AUTO-2026-10-07</t>
        </is>
      </c>
      <c r="C60" s="2" t="inlineStr">
        <is>
          <t>V0.2.0候选（分阶段构建，见证据时间）</t>
        </is>
      </c>
      <c r="D60" s="2" t="inlineStr">
        <is>
          <t>Win/Java21/MySQL8.4/Chrome</t>
        </is>
      </c>
      <c r="E60" s="2" t="inlineStr">
        <is>
          <t>registration_test；browser基线使用demo</t>
        </is>
      </c>
      <c r="F60" s="2" t="inlineStr">
        <is>
          <t>Codex自动执行</t>
        </is>
      </c>
      <c r="G60" s="2" t="inlineStr">
        <is>
          <t>PARTIAL</t>
        </is>
      </c>
      <c r="H60" s="2" t="inlineStr">
        <is>
          <t>已执行关联场景；未覆盖所有必测variant</t>
        </is>
      </c>
      <c r="I60" s="2" t="inlineStr"/>
      <c r="J60" s="2" t="inlineStr">
        <is>
          <t>验收证据/algorithm-unit.xml</t>
        </is>
      </c>
      <c r="K60" s="2" t="inlineStr">
        <is>
          <t>2026-10-07</t>
        </is>
      </c>
      <c r="L60" s="2" t="inlineStr">
        <is>
          <t>全变体通过且成员复核后才能标整条PASS；自动执行不代替人工签名</t>
        </is>
      </c>
    </row>
    <row r="61" ht="36" customHeight="1">
      <c r="A61" s="2" t="inlineStr">
        <is>
          <t>TC-CLOSE-003</t>
        </is>
      </c>
      <c r="B61" s="2" t="inlineStr">
        <is>
          <t>RC-AUTO-2026-10-07</t>
        </is>
      </c>
      <c r="C61" s="2" t="inlineStr">
        <is>
          <t>V0.2.0候选（分阶段构建，见证据时间）</t>
        </is>
      </c>
      <c r="D61" s="2" t="inlineStr">
        <is>
          <t>Win/Java21/MySQL8.4/Chrome</t>
        </is>
      </c>
      <c r="E61" s="2" t="inlineStr">
        <is>
          <t>registration_test；browser基线使用demo</t>
        </is>
      </c>
      <c r="F61" s="2" t="inlineStr">
        <is>
          <t>Codex自动执行</t>
        </is>
      </c>
      <c r="G61" s="2" t="inlineStr">
        <is>
          <t>PARTIAL</t>
        </is>
      </c>
      <c r="H61" s="2" t="inlineStr">
        <is>
          <t>已执行关联场景；未覆盖所有必测variant</t>
        </is>
      </c>
      <c r="I61" s="2" t="inlineStr"/>
      <c r="J61" s="2" t="inlineStr">
        <is>
          <t>验收证据/algorithm-unit.xml</t>
        </is>
      </c>
      <c r="K61" s="2" t="inlineStr">
        <is>
          <t>2026-10-07</t>
        </is>
      </c>
      <c r="L61" s="2" t="inlineStr">
        <is>
          <t>全变体通过且成员复核后才能标整条PASS；自动执行不代替人工签名</t>
        </is>
      </c>
    </row>
    <row r="62" ht="36" customHeight="1">
      <c r="A62" s="2" t="inlineStr">
        <is>
          <t>TC-CLOSE-004</t>
        </is>
      </c>
      <c r="B62" s="2" t="inlineStr">
        <is>
          <t>RC-AUTO-2026-10-07</t>
        </is>
      </c>
      <c r="C62" s="2" t="inlineStr">
        <is>
          <t>V0.2.0候选（分阶段构建，见证据时间）</t>
        </is>
      </c>
      <c r="D62" s="2" t="inlineStr">
        <is>
          <t>Win/Java21/MySQL8.4/Chrome</t>
        </is>
      </c>
      <c r="E62" s="2" t="inlineStr">
        <is>
          <t>registration_test；browser基线使用demo</t>
        </is>
      </c>
      <c r="F62" s="2" t="inlineStr">
        <is>
          <t>Codex自动执行</t>
        </is>
      </c>
      <c r="G62" s="2" t="inlineStr">
        <is>
          <t>PARTIAL</t>
        </is>
      </c>
      <c r="H62" s="2" t="inlineStr">
        <is>
          <t>已执行关联场景；未覆盖所有必测variant</t>
        </is>
      </c>
      <c r="I62" s="2" t="inlineStr"/>
      <c r="J62" s="2" t="inlineStr">
        <is>
          <t>验收证据/algorithm-unit.xml</t>
        </is>
      </c>
      <c r="K62" s="2" t="inlineStr">
        <is>
          <t>2026-10-07</t>
        </is>
      </c>
      <c r="L62" s="2" t="inlineStr">
        <is>
          <t>全变体通过且成员复核后才能标整条PASS；自动执行不代替人工签名</t>
        </is>
      </c>
    </row>
    <row r="63" ht="36" customHeight="1">
      <c r="A63" s="2" t="inlineStr">
        <is>
          <t>TC-CLOSE-005</t>
        </is>
      </c>
      <c r="B63" s="2" t="inlineStr">
        <is>
          <t>RC-AUTO-2026-10-07</t>
        </is>
      </c>
      <c r="C63" s="2" t="inlineStr">
        <is>
          <t>V0.2.0候选（分阶段构建，见证据时间）</t>
        </is>
      </c>
      <c r="D63" s="2" t="inlineStr">
        <is>
          <t>Win/Java21/MySQL8.4/Chrome</t>
        </is>
      </c>
      <c r="E63" s="2" t="inlineStr">
        <is>
          <t>registration_test；browser基线使用demo</t>
        </is>
      </c>
      <c r="F63" s="2" t="inlineStr">
        <is>
          <t>Codex自动执行</t>
        </is>
      </c>
      <c r="G63" s="2" t="inlineStr">
        <is>
          <t>PARTIAL</t>
        </is>
      </c>
      <c r="H63" s="2" t="inlineStr">
        <is>
          <t>已执行关联场景；未覆盖所有必测variant</t>
        </is>
      </c>
      <c r="I63" s="2" t="inlineStr"/>
      <c r="J63" s="2" t="inlineStr">
        <is>
          <t>验收证据/algorithm-unit.xml</t>
        </is>
      </c>
      <c r="K63" s="2" t="inlineStr">
        <is>
          <t>2026-10-07</t>
        </is>
      </c>
      <c r="L63" s="2" t="inlineStr">
        <is>
          <t>全变体通过且成员复核后才能标整条PASS；自动执行不代替人工签名</t>
        </is>
      </c>
    </row>
    <row r="64" ht="36" customHeight="1">
      <c r="A64" s="2" t="inlineStr">
        <is>
          <t>TC-CLOSE-006</t>
        </is>
      </c>
      <c r="B64" s="2" t="inlineStr"/>
      <c r="C64" s="2" t="inlineStr"/>
      <c r="D64" s="2" t="inlineStr"/>
      <c r="E64" s="2" t="inlineStr"/>
      <c r="F64" s="2" t="inlineStr"/>
      <c r="G64" s="2" t="inlineStr">
        <is>
          <t>NOT_RUN</t>
        </is>
      </c>
      <c r="H64" s="2" t="inlineStr"/>
      <c r="I64" s="2" t="inlineStr"/>
      <c r="J64" s="2" t="inlineStr"/>
      <c r="K64" s="2" t="inlineStr"/>
      <c r="L64" s="2" t="inlineStr"/>
    </row>
    <row r="65" ht="36" customHeight="1">
      <c r="A65" s="2" t="inlineStr">
        <is>
          <t>TC-CLOSE-007</t>
        </is>
      </c>
      <c r="B65" s="2" t="inlineStr">
        <is>
          <t>RC-AUTO-2026-10-07</t>
        </is>
      </c>
      <c r="C65" s="2" t="inlineStr">
        <is>
          <t>V0.2.0候选（分阶段构建，见证据时间）</t>
        </is>
      </c>
      <c r="D65" s="2" t="inlineStr">
        <is>
          <t>Win/Java21/MySQL8.4/Chrome</t>
        </is>
      </c>
      <c r="E65" s="2" t="inlineStr">
        <is>
          <t>registration_test；browser基线使用demo</t>
        </is>
      </c>
      <c r="F65" s="2" t="inlineStr">
        <is>
          <t>Codex自动执行</t>
        </is>
      </c>
      <c r="G65" s="2" t="inlineStr">
        <is>
          <t>PARTIAL</t>
        </is>
      </c>
      <c r="H65" s="2" t="inlineStr">
        <is>
          <t>已执行关联场景；未覆盖所有必测variant</t>
        </is>
      </c>
      <c r="I65" s="2" t="inlineStr"/>
      <c r="J65" s="2" t="inlineStr">
        <is>
          <t>验收证据/algorithm-unit.xml</t>
        </is>
      </c>
      <c r="K65" s="2" t="inlineStr">
        <is>
          <t>2026-10-07</t>
        </is>
      </c>
      <c r="L65" s="2" t="inlineStr">
        <is>
          <t>全变体通过且成员复核后才能标整条PASS；自动执行不代替人工签名</t>
        </is>
      </c>
    </row>
    <row r="66" ht="36" customHeight="1">
      <c r="A66" s="2" t="inlineStr">
        <is>
          <t>TC-CLOSE-008</t>
        </is>
      </c>
      <c r="B66" s="2" t="inlineStr"/>
      <c r="C66" s="2" t="inlineStr"/>
      <c r="D66" s="2" t="inlineStr"/>
      <c r="E66" s="2" t="inlineStr"/>
      <c r="F66" s="2" t="inlineStr"/>
      <c r="G66" s="2" t="inlineStr">
        <is>
          <t>NOT_RUN</t>
        </is>
      </c>
      <c r="H66" s="2" t="inlineStr"/>
      <c r="I66" s="2" t="inlineStr"/>
      <c r="J66" s="2" t="inlineStr"/>
      <c r="K66" s="2" t="inlineStr"/>
      <c r="L66" s="2" t="inlineStr"/>
    </row>
    <row r="67" ht="36" customHeight="1">
      <c r="A67" s="2" t="inlineStr">
        <is>
          <t>TC-CLOSE-009</t>
        </is>
      </c>
      <c r="B67" s="2" t="inlineStr">
        <is>
          <t>RC-AUTO-2026-10-07</t>
        </is>
      </c>
      <c r="C67" s="2" t="inlineStr">
        <is>
          <t>V0.2.0候选（分阶段构建，见证据时间）</t>
        </is>
      </c>
      <c r="D67" s="2" t="inlineStr">
        <is>
          <t>Win/Java21/MySQL8.4/Chrome</t>
        </is>
      </c>
      <c r="E67" s="2" t="inlineStr">
        <is>
          <t>registration_test；browser基线使用demo</t>
        </is>
      </c>
      <c r="F67" s="2" t="inlineStr">
        <is>
          <t>Codex自动执行</t>
        </is>
      </c>
      <c r="G67" s="2" t="inlineStr">
        <is>
          <t>PARTIAL</t>
        </is>
      </c>
      <c r="H67" s="2" t="inlineStr">
        <is>
          <t>已执行关联场景；未覆盖所有必测variant</t>
        </is>
      </c>
      <c r="I67" s="2" t="inlineStr"/>
      <c r="J67" s="2" t="inlineStr">
        <is>
          <t>验收证据/restart-recovery.json</t>
        </is>
      </c>
      <c r="K67" s="2" t="inlineStr">
        <is>
          <t>2026-10-06T16:55:33.690993+00:00</t>
        </is>
      </c>
      <c r="L67" s="2" t="inlineStr">
        <is>
          <t>全变体通过且成员复核后才能标整条PASS；自动执行不代替人工签名</t>
        </is>
      </c>
    </row>
    <row r="68" ht="36" customHeight="1">
      <c r="A68" s="2" t="inlineStr">
        <is>
          <t>TC-CLOSE-010</t>
        </is>
      </c>
      <c r="B68" s="2" t="inlineStr">
        <is>
          <t>RC-AUTO-2026-10-07</t>
        </is>
      </c>
      <c r="C68" s="2" t="inlineStr">
        <is>
          <t>V0.2.0候选（分阶段构建，见证据时间）</t>
        </is>
      </c>
      <c r="D68" s="2" t="inlineStr">
        <is>
          <t>Win/Java21/MySQL8.4/Chrome</t>
        </is>
      </c>
      <c r="E68" s="2" t="inlineStr">
        <is>
          <t>registration_test；browser基线使用demo</t>
        </is>
      </c>
      <c r="F68" s="2" t="inlineStr">
        <is>
          <t>Codex自动执行</t>
        </is>
      </c>
      <c r="G68" s="2" t="inlineStr">
        <is>
          <t>PARTIAL</t>
        </is>
      </c>
      <c r="H68" s="2" t="inlineStr">
        <is>
          <t>已执行关联场景；未覆盖所有必测variant</t>
        </is>
      </c>
      <c r="I68" s="2" t="inlineStr"/>
      <c r="J68" s="2" t="inlineStr">
        <is>
          <t>验收证据/integration.json;验收证据/restart-recovery.json</t>
        </is>
      </c>
      <c r="K68" s="2" t="inlineStr">
        <is>
          <t>2026-10-06T16:55:33.690993+00:00</t>
        </is>
      </c>
      <c r="L68" s="2" t="inlineStr">
        <is>
          <t>全变体通过且成员复核后才能标整条PASS；自动执行不代替人工签名</t>
        </is>
      </c>
    </row>
    <row r="69" ht="36" customHeight="1">
      <c r="A69" s="2" t="inlineStr">
        <is>
          <t>TC-CLOSE-011</t>
        </is>
      </c>
      <c r="B69" s="2" t="inlineStr"/>
      <c r="C69" s="2" t="inlineStr"/>
      <c r="D69" s="2" t="inlineStr"/>
      <c r="E69" s="2" t="inlineStr"/>
      <c r="F69" s="2" t="inlineStr"/>
      <c r="G69" s="2" t="inlineStr">
        <is>
          <t>NOT_RUN</t>
        </is>
      </c>
      <c r="H69" s="2" t="inlineStr"/>
      <c r="I69" s="2" t="inlineStr"/>
      <c r="J69" s="2" t="inlineStr"/>
      <c r="K69" s="2" t="inlineStr"/>
      <c r="L69" s="2" t="inlineStr"/>
    </row>
    <row r="70" ht="36" customHeight="1">
      <c r="A70" s="2" t="inlineStr">
        <is>
          <t>TC-CLOSE-012</t>
        </is>
      </c>
      <c r="B70" s="2" t="inlineStr"/>
      <c r="C70" s="2" t="inlineStr"/>
      <c r="D70" s="2" t="inlineStr"/>
      <c r="E70" s="2" t="inlineStr"/>
      <c r="F70" s="2" t="inlineStr"/>
      <c r="G70" s="2" t="inlineStr">
        <is>
          <t>NOT_RUN</t>
        </is>
      </c>
      <c r="H70" s="2" t="inlineStr"/>
      <c r="I70" s="2" t="inlineStr"/>
      <c r="J70" s="2" t="inlineStr"/>
      <c r="K70" s="2" t="inlineStr"/>
      <c r="L70" s="2" t="inlineStr"/>
    </row>
    <row r="71" ht="36" customHeight="1">
      <c r="A71" s="2" t="inlineStr">
        <is>
          <t>TC-BILL-001</t>
        </is>
      </c>
      <c r="B71" s="2" t="inlineStr"/>
      <c r="C71" s="2" t="inlineStr"/>
      <c r="D71" s="2" t="inlineStr"/>
      <c r="E71" s="2" t="inlineStr"/>
      <c r="F71" s="2" t="inlineStr"/>
      <c r="G71" s="2" t="inlineStr">
        <is>
          <t>NOT_RUN</t>
        </is>
      </c>
      <c r="H71" s="2" t="inlineStr"/>
      <c r="I71" s="2" t="inlineStr"/>
      <c r="J71" s="2" t="inlineStr"/>
      <c r="K71" s="2" t="inlineStr"/>
      <c r="L71" s="2" t="inlineStr"/>
    </row>
    <row r="72" ht="36" customHeight="1">
      <c r="A72" s="2" t="inlineStr">
        <is>
          <t>TC-BILL-002</t>
        </is>
      </c>
      <c r="B72" s="2" t="inlineStr"/>
      <c r="C72" s="2" t="inlineStr"/>
      <c r="D72" s="2" t="inlineStr"/>
      <c r="E72" s="2" t="inlineStr"/>
      <c r="F72" s="2" t="inlineStr"/>
      <c r="G72" s="2" t="inlineStr">
        <is>
          <t>NOT_RUN</t>
        </is>
      </c>
      <c r="H72" s="2" t="inlineStr"/>
      <c r="I72" s="2" t="inlineStr"/>
      <c r="J72" s="2" t="inlineStr"/>
      <c r="K72" s="2" t="inlineStr"/>
      <c r="L72" s="2" t="inlineStr"/>
    </row>
    <row r="73" ht="36" customHeight="1">
      <c r="A73" s="2" t="inlineStr">
        <is>
          <t>TC-BILL-003</t>
        </is>
      </c>
      <c r="B73" s="2" t="inlineStr">
        <is>
          <t>RC-AUTO-2026-10-07</t>
        </is>
      </c>
      <c r="C73" s="2" t="inlineStr">
        <is>
          <t>V0.2.0候选（分阶段构建，见证据时间）</t>
        </is>
      </c>
      <c r="D73" s="2" t="inlineStr">
        <is>
          <t>Win/Java21/MySQL8.4/Chrome</t>
        </is>
      </c>
      <c r="E73" s="2" t="inlineStr">
        <is>
          <t>registration_test；browser基线使用demo</t>
        </is>
      </c>
      <c r="F73" s="2" t="inlineStr">
        <is>
          <t>Codex自动执行</t>
        </is>
      </c>
      <c r="G73" s="2" t="inlineStr">
        <is>
          <t>PARTIAL</t>
        </is>
      </c>
      <c r="H73" s="2" t="inlineStr">
        <is>
          <t>已执行关联场景；未覆盖所有必测variant</t>
        </is>
      </c>
      <c r="I73" s="2" t="inlineStr"/>
      <c r="J73" s="2" t="inlineStr">
        <is>
          <t>验收证据/integration.json;验收证据/restart-recovery.json</t>
        </is>
      </c>
      <c r="K73" s="2" t="inlineStr">
        <is>
          <t>2026-10-06T16:55:33.690993+00:00</t>
        </is>
      </c>
      <c r="L73" s="2" t="inlineStr">
        <is>
          <t>全变体通过且成员复核后才能标整条PASS；自动执行不代替人工签名</t>
        </is>
      </c>
    </row>
    <row r="74" ht="36" customHeight="1">
      <c r="A74" s="2" t="inlineStr">
        <is>
          <t>TC-BILL-004</t>
        </is>
      </c>
      <c r="B74" s="2" t="inlineStr">
        <is>
          <t>RC-AUTO-2026-10-07</t>
        </is>
      </c>
      <c r="C74" s="2" t="inlineStr">
        <is>
          <t>V0.2.0候选（分阶段构建，见证据时间）</t>
        </is>
      </c>
      <c r="D74" s="2" t="inlineStr">
        <is>
          <t>Win/Java21/MySQL8.4/Chrome</t>
        </is>
      </c>
      <c r="E74" s="2" t="inlineStr">
        <is>
          <t>registration_test；browser基线使用demo</t>
        </is>
      </c>
      <c r="F74" s="2" t="inlineStr">
        <is>
          <t>Codex自动执行</t>
        </is>
      </c>
      <c r="G74" s="2" t="inlineStr">
        <is>
          <t>PARTIAL</t>
        </is>
      </c>
      <c r="H74" s="2" t="inlineStr">
        <is>
          <t>已执行关联场景；未覆盖所有必测variant</t>
        </is>
      </c>
      <c r="I74" s="2" t="inlineStr"/>
      <c r="J74" s="2" t="inlineStr">
        <is>
          <t>验收证据/restart-recovery.json</t>
        </is>
      </c>
      <c r="K74" s="2" t="inlineStr">
        <is>
          <t>2026-10-06T16:55:33.690993+00:00</t>
        </is>
      </c>
      <c r="L74" s="2" t="inlineStr">
        <is>
          <t>全变体通过且成员复核后才能标整条PASS；自动执行不代替人工签名</t>
        </is>
      </c>
    </row>
    <row r="75" ht="36" customHeight="1">
      <c r="A75" s="2" t="inlineStr">
        <is>
          <t>TC-BILL-005</t>
        </is>
      </c>
      <c r="B75" s="2" t="inlineStr"/>
      <c r="C75" s="2" t="inlineStr"/>
      <c r="D75" s="2" t="inlineStr"/>
      <c r="E75" s="2" t="inlineStr"/>
      <c r="F75" s="2" t="inlineStr"/>
      <c r="G75" s="2" t="inlineStr">
        <is>
          <t>NOT_RUN</t>
        </is>
      </c>
      <c r="H75" s="2" t="inlineStr"/>
      <c r="I75" s="2" t="inlineStr"/>
      <c r="J75" s="2" t="inlineStr"/>
      <c r="K75" s="2" t="inlineStr"/>
      <c r="L75" s="2" t="inlineStr"/>
    </row>
    <row r="76" ht="36" customHeight="1">
      <c r="A76" s="2" t="inlineStr">
        <is>
          <t>TC-BILL-006</t>
        </is>
      </c>
      <c r="B76" s="2" t="inlineStr"/>
      <c r="C76" s="2" t="inlineStr"/>
      <c r="D76" s="2" t="inlineStr"/>
      <c r="E76" s="2" t="inlineStr"/>
      <c r="F76" s="2" t="inlineStr"/>
      <c r="G76" s="2" t="inlineStr">
        <is>
          <t>NOT_RUN</t>
        </is>
      </c>
      <c r="H76" s="2" t="inlineStr"/>
      <c r="I76" s="2" t="inlineStr"/>
      <c r="J76" s="2" t="inlineStr"/>
      <c r="K76" s="2" t="inlineStr"/>
      <c r="L76" s="2" t="inlineStr"/>
    </row>
    <row r="77" ht="36" customHeight="1">
      <c r="A77" s="2" t="inlineStr">
        <is>
          <t>TC-BILL-007</t>
        </is>
      </c>
      <c r="B77" s="2" t="inlineStr">
        <is>
          <t>RC-AUTO-2026-10-07</t>
        </is>
      </c>
      <c r="C77" s="2" t="inlineStr">
        <is>
          <t>V0.2.0候选（分阶段构建，见证据时间）</t>
        </is>
      </c>
      <c r="D77" s="2" t="inlineStr">
        <is>
          <t>Win/Java21/MySQL8.4/Chrome</t>
        </is>
      </c>
      <c r="E77" s="2" t="inlineStr">
        <is>
          <t>registration_test；browser基线使用demo</t>
        </is>
      </c>
      <c r="F77" s="2" t="inlineStr">
        <is>
          <t>Codex自动执行</t>
        </is>
      </c>
      <c r="G77" s="2" t="inlineStr">
        <is>
          <t>PARTIAL</t>
        </is>
      </c>
      <c r="H77" s="2" t="inlineStr">
        <is>
          <t>已执行关联场景；未覆盖所有必测variant</t>
        </is>
      </c>
      <c r="I77" s="2" t="inlineStr"/>
      <c r="J77" s="2" t="inlineStr">
        <is>
          <t>验收证据/restart-recovery.json</t>
        </is>
      </c>
      <c r="K77" s="2" t="inlineStr">
        <is>
          <t>2026-10-06T16:55:33.690993+00:00</t>
        </is>
      </c>
      <c r="L77" s="2" t="inlineStr">
        <is>
          <t>全变体通过且成员复核后才能标整条PASS；自动执行不代替人工签名</t>
        </is>
      </c>
    </row>
    <row r="78" ht="36" customHeight="1">
      <c r="A78" s="2" t="inlineStr">
        <is>
          <t>TC-BILL-008</t>
        </is>
      </c>
      <c r="B78" s="2" t="inlineStr"/>
      <c r="C78" s="2" t="inlineStr"/>
      <c r="D78" s="2" t="inlineStr"/>
      <c r="E78" s="2" t="inlineStr"/>
      <c r="F78" s="2" t="inlineStr"/>
      <c r="G78" s="2" t="inlineStr">
        <is>
          <t>NOT_RUN</t>
        </is>
      </c>
      <c r="H78" s="2" t="inlineStr"/>
      <c r="I78" s="2" t="inlineStr"/>
      <c r="J78" s="2" t="inlineStr"/>
      <c r="K78" s="2" t="inlineStr"/>
      <c r="L78" s="2" t="inlineStr"/>
    </row>
    <row r="79" ht="36" customHeight="1">
      <c r="A79" s="2" t="inlineStr">
        <is>
          <t>TC-BILL-009</t>
        </is>
      </c>
      <c r="B79" s="2" t="inlineStr"/>
      <c r="C79" s="2" t="inlineStr"/>
      <c r="D79" s="2" t="inlineStr"/>
      <c r="E79" s="2" t="inlineStr"/>
      <c r="F79" s="2" t="inlineStr"/>
      <c r="G79" s="2" t="inlineStr">
        <is>
          <t>NOT_RUN</t>
        </is>
      </c>
      <c r="H79" s="2" t="inlineStr"/>
      <c r="I79" s="2" t="inlineStr"/>
      <c r="J79" s="2" t="inlineStr"/>
      <c r="K79" s="2" t="inlineStr"/>
      <c r="L79" s="2" t="inlineStr"/>
    </row>
    <row r="80" ht="36" customHeight="1">
      <c r="A80" s="2" t="inlineStr">
        <is>
          <t>TC-BILL-010</t>
        </is>
      </c>
      <c r="B80" s="2" t="inlineStr"/>
      <c r="C80" s="2" t="inlineStr"/>
      <c r="D80" s="2" t="inlineStr"/>
      <c r="E80" s="2" t="inlineStr"/>
      <c r="F80" s="2" t="inlineStr"/>
      <c r="G80" s="2" t="inlineStr">
        <is>
          <t>NOT_RUN</t>
        </is>
      </c>
      <c r="H80" s="2" t="inlineStr"/>
      <c r="I80" s="2" t="inlineStr"/>
      <c r="J80" s="2" t="inlineStr"/>
      <c r="K80" s="2" t="inlineStr"/>
      <c r="L80" s="2" t="inlineStr"/>
    </row>
    <row r="81" ht="36" customHeight="1">
      <c r="A81" s="2" t="inlineStr">
        <is>
          <t>TC-BILL-011</t>
        </is>
      </c>
      <c r="B81" s="2" t="inlineStr">
        <is>
          <t>RC-AUTO-2026-10-07</t>
        </is>
      </c>
      <c r="C81" s="2" t="inlineStr">
        <is>
          <t>V0.2.0候选（分阶段构建，见证据时间）</t>
        </is>
      </c>
      <c r="D81" s="2" t="inlineStr">
        <is>
          <t>Win/Java21/MySQL8.4/Chrome</t>
        </is>
      </c>
      <c r="E81" s="2" t="inlineStr">
        <is>
          <t>registration_test；browser基线使用demo</t>
        </is>
      </c>
      <c r="F81" s="2" t="inlineStr">
        <is>
          <t>Codex自动执行</t>
        </is>
      </c>
      <c r="G81" s="2" t="inlineStr">
        <is>
          <t>PARTIAL</t>
        </is>
      </c>
      <c r="H81" s="2" t="inlineStr">
        <is>
          <t>已执行关联场景；未覆盖所有必测variant</t>
        </is>
      </c>
      <c r="I81" s="2" t="inlineStr"/>
      <c r="J81" s="2" t="inlineStr">
        <is>
          <t>验收证据/restart-recovery.json</t>
        </is>
      </c>
      <c r="K81" s="2" t="inlineStr">
        <is>
          <t>2026-10-06T16:55:33.690993+00:00</t>
        </is>
      </c>
      <c r="L81" s="2" t="inlineStr">
        <is>
          <t>全变体通过且成员复核后才能标整条PASS；自动执行不代替人工签名</t>
        </is>
      </c>
    </row>
    <row r="82" ht="36" customHeight="1">
      <c r="A82" s="2" t="inlineStr">
        <is>
          <t>TC-BILL-012</t>
        </is>
      </c>
      <c r="B82" s="2" t="inlineStr"/>
      <c r="C82" s="2" t="inlineStr"/>
      <c r="D82" s="2" t="inlineStr"/>
      <c r="E82" s="2" t="inlineStr"/>
      <c r="F82" s="2" t="inlineStr"/>
      <c r="G82" s="2" t="inlineStr">
        <is>
          <t>NOT_RUN</t>
        </is>
      </c>
      <c r="H82" s="2" t="inlineStr"/>
      <c r="I82" s="2" t="inlineStr"/>
      <c r="J82" s="2" t="inlineStr"/>
      <c r="K82" s="2" t="inlineStr"/>
      <c r="L82" s="2" t="inlineStr"/>
    </row>
    <row r="83" ht="36" customHeight="1">
      <c r="A83" s="2" t="inlineStr">
        <is>
          <t>TC-CON-001</t>
        </is>
      </c>
      <c r="B83" s="2" t="inlineStr">
        <is>
          <t>RC-AUTO-2026-10-07</t>
        </is>
      </c>
      <c r="C83" s="2" t="inlineStr">
        <is>
          <t>V0.2.0候选（分阶段构建，见证据时间）</t>
        </is>
      </c>
      <c r="D83" s="2" t="inlineStr">
        <is>
          <t>Win/Java21/MySQL8.4/Chrome</t>
        </is>
      </c>
      <c r="E83" s="2" t="inlineStr">
        <is>
          <t>registration_test；browser基线使用demo</t>
        </is>
      </c>
      <c r="F83" s="2" t="inlineStr">
        <is>
          <t>Codex自动执行</t>
        </is>
      </c>
      <c r="G83" s="2" t="inlineStr">
        <is>
          <t>PARTIAL</t>
        </is>
      </c>
      <c r="H83" s="2" t="inlineStr">
        <is>
          <t>已执行关联场景；未覆盖所有必测variant</t>
        </is>
      </c>
      <c r="I83" s="2" t="inlineStr"/>
      <c r="J83" s="2" t="inlineStr">
        <is>
          <t>验收证据/integration.json</t>
        </is>
      </c>
      <c r="K83" s="2" t="inlineStr">
        <is>
          <t>2026-10-06T16:45:13.806207+00:00</t>
        </is>
      </c>
      <c r="L83" s="2" t="inlineStr">
        <is>
          <t>全变体通过且成员复核后才能标整条PASS；自动执行不代替人工签名</t>
        </is>
      </c>
    </row>
    <row r="84" ht="36" customHeight="1">
      <c r="A84" s="2" t="inlineStr">
        <is>
          <t>TC-CON-002</t>
        </is>
      </c>
      <c r="B84" s="2" t="inlineStr"/>
      <c r="C84" s="2" t="inlineStr"/>
      <c r="D84" s="2" t="inlineStr"/>
      <c r="E84" s="2" t="inlineStr"/>
      <c r="F84" s="2" t="inlineStr"/>
      <c r="G84" s="2" t="inlineStr">
        <is>
          <t>NOT_RUN</t>
        </is>
      </c>
      <c r="H84" s="2" t="inlineStr"/>
      <c r="I84" s="2" t="inlineStr"/>
      <c r="J84" s="2" t="inlineStr"/>
      <c r="K84" s="2" t="inlineStr"/>
      <c r="L84" s="2" t="inlineStr"/>
    </row>
    <row r="85" ht="36" customHeight="1">
      <c r="A85" s="2" t="inlineStr">
        <is>
          <t>TC-CON-003</t>
        </is>
      </c>
      <c r="B85" s="2" t="inlineStr"/>
      <c r="C85" s="2" t="inlineStr"/>
      <c r="D85" s="2" t="inlineStr"/>
      <c r="E85" s="2" t="inlineStr"/>
      <c r="F85" s="2" t="inlineStr"/>
      <c r="G85" s="2" t="inlineStr">
        <is>
          <t>NOT_RUN</t>
        </is>
      </c>
      <c r="H85" s="2" t="inlineStr"/>
      <c r="I85" s="2" t="inlineStr"/>
      <c r="J85" s="2" t="inlineStr"/>
      <c r="K85" s="2" t="inlineStr"/>
      <c r="L85" s="2" t="inlineStr"/>
    </row>
    <row r="86" ht="36" customHeight="1">
      <c r="A86" s="2" t="inlineStr">
        <is>
          <t>TC-CON-004</t>
        </is>
      </c>
      <c r="B86" s="2" t="inlineStr"/>
      <c r="C86" s="2" t="inlineStr"/>
      <c r="D86" s="2" t="inlineStr"/>
      <c r="E86" s="2" t="inlineStr"/>
      <c r="F86" s="2" t="inlineStr"/>
      <c r="G86" s="2" t="inlineStr">
        <is>
          <t>NOT_RUN</t>
        </is>
      </c>
      <c r="H86" s="2" t="inlineStr"/>
      <c r="I86" s="2" t="inlineStr"/>
      <c r="J86" s="2" t="inlineStr"/>
      <c r="K86" s="2" t="inlineStr"/>
      <c r="L86" s="2" t="inlineStr"/>
    </row>
    <row r="87" ht="36" customHeight="1">
      <c r="A87" s="2" t="inlineStr">
        <is>
          <t>TC-CON-005</t>
        </is>
      </c>
      <c r="B87" s="2" t="inlineStr"/>
      <c r="C87" s="2" t="inlineStr"/>
      <c r="D87" s="2" t="inlineStr"/>
      <c r="E87" s="2" t="inlineStr"/>
      <c r="F87" s="2" t="inlineStr"/>
      <c r="G87" s="2" t="inlineStr">
        <is>
          <t>NOT_RUN</t>
        </is>
      </c>
      <c r="H87" s="2" t="inlineStr"/>
      <c r="I87" s="2" t="inlineStr"/>
      <c r="J87" s="2" t="inlineStr"/>
      <c r="K87" s="2" t="inlineStr"/>
      <c r="L87" s="2" t="inlineStr"/>
    </row>
    <row r="88" ht="36" customHeight="1">
      <c r="A88" s="2" t="inlineStr">
        <is>
          <t>TC-CON-006</t>
        </is>
      </c>
      <c r="B88" s="2" t="inlineStr">
        <is>
          <t>RC-AUTO-2026-10-07</t>
        </is>
      </c>
      <c r="C88" s="2" t="inlineStr">
        <is>
          <t>V0.2.0候选（分阶段构建，见证据时间）</t>
        </is>
      </c>
      <c r="D88" s="2" t="inlineStr">
        <is>
          <t>Win/Java21/MySQL8.4/Chrome</t>
        </is>
      </c>
      <c r="E88" s="2" t="inlineStr">
        <is>
          <t>registration_test；browser基线使用demo</t>
        </is>
      </c>
      <c r="F88" s="2" t="inlineStr">
        <is>
          <t>Codex自动执行</t>
        </is>
      </c>
      <c r="G88" s="2" t="inlineStr">
        <is>
          <t>PARTIAL</t>
        </is>
      </c>
      <c r="H88" s="2" t="inlineStr">
        <is>
          <t>已执行关联场景；未覆盖所有必测variant</t>
        </is>
      </c>
      <c r="I88" s="2" t="inlineStr"/>
      <c r="J88" s="2" t="inlineStr">
        <is>
          <t>验收证据/integration.json</t>
        </is>
      </c>
      <c r="K88" s="2" t="inlineStr">
        <is>
          <t>2026-10-06T16:45:13.806207+00:00</t>
        </is>
      </c>
      <c r="L88" s="2" t="inlineStr">
        <is>
          <t>全变体通过且成员复核后才能标整条PASS；自动执行不代替人工签名</t>
        </is>
      </c>
    </row>
    <row r="89" ht="36" customHeight="1">
      <c r="A89" s="2" t="inlineStr">
        <is>
          <t>TC-CON-007</t>
        </is>
      </c>
      <c r="B89" s="2" t="inlineStr"/>
      <c r="C89" s="2" t="inlineStr"/>
      <c r="D89" s="2" t="inlineStr"/>
      <c r="E89" s="2" t="inlineStr"/>
      <c r="F89" s="2" t="inlineStr"/>
      <c r="G89" s="2" t="inlineStr">
        <is>
          <t>NOT_RUN</t>
        </is>
      </c>
      <c r="H89" s="2" t="inlineStr"/>
      <c r="I89" s="2" t="inlineStr"/>
      <c r="J89" s="2" t="inlineStr"/>
      <c r="K89" s="2" t="inlineStr"/>
      <c r="L89" s="2" t="inlineStr"/>
    </row>
    <row r="90" ht="36" customHeight="1">
      <c r="A90" s="2" t="inlineStr">
        <is>
          <t>TC-CON-008</t>
        </is>
      </c>
      <c r="B90" s="2" t="inlineStr"/>
      <c r="C90" s="2" t="inlineStr"/>
      <c r="D90" s="2" t="inlineStr"/>
      <c r="E90" s="2" t="inlineStr"/>
      <c r="F90" s="2" t="inlineStr"/>
      <c r="G90" s="2" t="inlineStr">
        <is>
          <t>NOT_RUN</t>
        </is>
      </c>
      <c r="H90" s="2" t="inlineStr"/>
      <c r="I90" s="2" t="inlineStr"/>
      <c r="J90" s="2" t="inlineStr"/>
      <c r="K90" s="2" t="inlineStr"/>
      <c r="L90" s="2" t="inlineStr"/>
    </row>
    <row r="91" ht="36" customHeight="1">
      <c r="A91" s="2" t="inlineStr">
        <is>
          <t>TC-CON-009</t>
        </is>
      </c>
      <c r="B91" s="2" t="inlineStr"/>
      <c r="C91" s="2" t="inlineStr"/>
      <c r="D91" s="2" t="inlineStr"/>
      <c r="E91" s="2" t="inlineStr"/>
      <c r="F91" s="2" t="inlineStr"/>
      <c r="G91" s="2" t="inlineStr">
        <is>
          <t>NOT_RUN</t>
        </is>
      </c>
      <c r="H91" s="2" t="inlineStr"/>
      <c r="I91" s="2" t="inlineStr"/>
      <c r="J91" s="2" t="inlineStr"/>
      <c r="K91" s="2" t="inlineStr"/>
      <c r="L91" s="2" t="inlineStr"/>
    </row>
    <row r="92" ht="36" customHeight="1">
      <c r="A92" s="2" t="inlineStr">
        <is>
          <t>TC-CON-010</t>
        </is>
      </c>
      <c r="B92" s="2" t="inlineStr"/>
      <c r="C92" s="2" t="inlineStr"/>
      <c r="D92" s="2" t="inlineStr"/>
      <c r="E92" s="2" t="inlineStr"/>
      <c r="F92" s="2" t="inlineStr"/>
      <c r="G92" s="2" t="inlineStr">
        <is>
          <t>NOT_RUN</t>
        </is>
      </c>
      <c r="H92" s="2" t="inlineStr"/>
      <c r="I92" s="2" t="inlineStr"/>
      <c r="J92" s="2" t="inlineStr"/>
      <c r="K92" s="2" t="inlineStr"/>
      <c r="L92" s="2" t="inlineStr"/>
    </row>
    <row r="93" ht="36" customHeight="1">
      <c r="A93" s="2" t="inlineStr">
        <is>
          <t>TC-SEC-001</t>
        </is>
      </c>
      <c r="B93" s="2" t="inlineStr">
        <is>
          <t>RC-AUTO-2026-10-07</t>
        </is>
      </c>
      <c r="C93" s="2" t="inlineStr">
        <is>
          <t>V0.2.0候选（分阶段构建，见证据时间）</t>
        </is>
      </c>
      <c r="D93" s="2" t="inlineStr">
        <is>
          <t>Win/Java21/MySQL8.4/Chrome</t>
        </is>
      </c>
      <c r="E93" s="2" t="inlineStr">
        <is>
          <t>registration_test；browser基线使用demo</t>
        </is>
      </c>
      <c r="F93" s="2" t="inlineStr">
        <is>
          <t>Codex自动执行</t>
        </is>
      </c>
      <c r="G93" s="2" t="inlineStr">
        <is>
          <t>PARTIAL</t>
        </is>
      </c>
      <c r="H93" s="2" t="inlineStr">
        <is>
          <t>已执行关联场景；未覆盖所有必测variant</t>
        </is>
      </c>
      <c r="I93" s="2" t="inlineStr"/>
      <c r="J93" s="2" t="inlineStr">
        <is>
          <t>验收证据/acceptance.json;验收证据/browser.json;验收证据/integration.json</t>
        </is>
      </c>
      <c r="K93" s="2" t="inlineStr">
        <is>
          <t>2026-10-06T16:57:56.747Z</t>
        </is>
      </c>
      <c r="L93" s="2" t="inlineStr">
        <is>
          <t>全变体通过且成员复核后才能标整条PASS；自动执行不代替人工签名</t>
        </is>
      </c>
    </row>
    <row r="94" ht="36" customHeight="1">
      <c r="A94" s="2" t="inlineStr">
        <is>
          <t>TC-SEC-002</t>
        </is>
      </c>
      <c r="B94" s="2" t="inlineStr">
        <is>
          <t>RC-AUTO-2026-10-07</t>
        </is>
      </c>
      <c r="C94" s="2" t="inlineStr">
        <is>
          <t>V0.2.0候选（分阶段构建，见证据时间）</t>
        </is>
      </c>
      <c r="D94" s="2" t="inlineStr">
        <is>
          <t>Win/Java21/MySQL8.4/Chrome</t>
        </is>
      </c>
      <c r="E94" s="2" t="inlineStr">
        <is>
          <t>registration_test；browser基线使用demo</t>
        </is>
      </c>
      <c r="F94" s="2" t="inlineStr">
        <is>
          <t>Codex自动执行</t>
        </is>
      </c>
      <c r="G94" s="2" t="inlineStr">
        <is>
          <t>PARTIAL</t>
        </is>
      </c>
      <c r="H94" s="2" t="inlineStr">
        <is>
          <t>已执行关联场景；未覆盖所有必测variant</t>
        </is>
      </c>
      <c r="I94" s="2" t="inlineStr"/>
      <c r="J94" s="2" t="inlineStr">
        <is>
          <t>验收证据/integration.json</t>
        </is>
      </c>
      <c r="K94" s="2" t="inlineStr">
        <is>
          <t>2026-10-06T16:45:13.806207+00:00</t>
        </is>
      </c>
      <c r="L94" s="2" t="inlineStr">
        <is>
          <t>全变体通过且成员复核后才能标整条PASS；自动执行不代替人工签名</t>
        </is>
      </c>
    </row>
    <row r="95" ht="36" customHeight="1">
      <c r="A95" s="2" t="inlineStr">
        <is>
          <t>TC-SEC-003</t>
        </is>
      </c>
      <c r="B95" s="2" t="inlineStr"/>
      <c r="C95" s="2" t="inlineStr"/>
      <c r="D95" s="2" t="inlineStr"/>
      <c r="E95" s="2" t="inlineStr"/>
      <c r="F95" s="2" t="inlineStr"/>
      <c r="G95" s="2" t="inlineStr">
        <is>
          <t>NOT_RUN</t>
        </is>
      </c>
      <c r="H95" s="2" t="inlineStr"/>
      <c r="I95" s="2" t="inlineStr"/>
      <c r="J95" s="2" t="inlineStr"/>
      <c r="K95" s="2" t="inlineStr"/>
      <c r="L95" s="2" t="inlineStr"/>
    </row>
    <row r="96" ht="36" customHeight="1">
      <c r="A96" s="2" t="inlineStr">
        <is>
          <t>TC-SEC-004</t>
        </is>
      </c>
      <c r="B96" s="2" t="inlineStr"/>
      <c r="C96" s="2" t="inlineStr"/>
      <c r="D96" s="2" t="inlineStr"/>
      <c r="E96" s="2" t="inlineStr"/>
      <c r="F96" s="2" t="inlineStr"/>
      <c r="G96" s="2" t="inlineStr">
        <is>
          <t>NOT_RUN</t>
        </is>
      </c>
      <c r="H96" s="2" t="inlineStr"/>
      <c r="I96" s="2" t="inlineStr"/>
      <c r="J96" s="2" t="inlineStr"/>
      <c r="K96" s="2" t="inlineStr"/>
      <c r="L96" s="2" t="inlineStr"/>
    </row>
    <row r="97" ht="36" customHeight="1">
      <c r="A97" s="2" t="inlineStr">
        <is>
          <t>TC-SEC-005</t>
        </is>
      </c>
      <c r="B97" s="2" t="inlineStr"/>
      <c r="C97" s="2" t="inlineStr"/>
      <c r="D97" s="2" t="inlineStr"/>
      <c r="E97" s="2" t="inlineStr"/>
      <c r="F97" s="2" t="inlineStr"/>
      <c r="G97" s="2" t="inlineStr">
        <is>
          <t>NOT_RUN</t>
        </is>
      </c>
      <c r="H97" s="2" t="inlineStr"/>
      <c r="I97" s="2" t="inlineStr"/>
      <c r="J97" s="2" t="inlineStr"/>
      <c r="K97" s="2" t="inlineStr"/>
      <c r="L97" s="2" t="inlineStr"/>
    </row>
    <row r="98" ht="36" customHeight="1">
      <c r="A98" s="2" t="inlineStr">
        <is>
          <t>TC-SEC-006</t>
        </is>
      </c>
      <c r="B98" s="2" t="inlineStr"/>
      <c r="C98" s="2" t="inlineStr"/>
      <c r="D98" s="2" t="inlineStr"/>
      <c r="E98" s="2" t="inlineStr"/>
      <c r="F98" s="2" t="inlineStr"/>
      <c r="G98" s="2" t="inlineStr">
        <is>
          <t>NOT_RUN</t>
        </is>
      </c>
      <c r="H98" s="2" t="inlineStr"/>
      <c r="I98" s="2" t="inlineStr"/>
      <c r="J98" s="2" t="inlineStr"/>
      <c r="K98" s="2" t="inlineStr"/>
      <c r="L98" s="2" t="inlineStr"/>
    </row>
    <row r="99" ht="36" customHeight="1">
      <c r="A99" s="2" t="inlineStr">
        <is>
          <t>TC-SEC-007</t>
        </is>
      </c>
      <c r="B99" s="2" t="inlineStr"/>
      <c r="C99" s="2" t="inlineStr"/>
      <c r="D99" s="2" t="inlineStr"/>
      <c r="E99" s="2" t="inlineStr"/>
      <c r="F99" s="2" t="inlineStr"/>
      <c r="G99" s="2" t="inlineStr">
        <is>
          <t>NOT_RUN</t>
        </is>
      </c>
      <c r="H99" s="2" t="inlineStr"/>
      <c r="I99" s="2" t="inlineStr"/>
      <c r="J99" s="2" t="inlineStr"/>
      <c r="K99" s="2" t="inlineStr"/>
      <c r="L99" s="2" t="inlineStr"/>
    </row>
    <row r="100" ht="36" customHeight="1">
      <c r="A100" s="2" t="inlineStr">
        <is>
          <t>TC-SEC-008</t>
        </is>
      </c>
      <c r="B100" s="2" t="inlineStr"/>
      <c r="C100" s="2" t="inlineStr"/>
      <c r="D100" s="2" t="inlineStr"/>
      <c r="E100" s="2" t="inlineStr"/>
      <c r="F100" s="2" t="inlineStr"/>
      <c r="G100" s="2" t="inlineStr">
        <is>
          <t>NOT_RUN</t>
        </is>
      </c>
      <c r="H100" s="2" t="inlineStr"/>
      <c r="I100" s="2" t="inlineStr"/>
      <c r="J100" s="2" t="inlineStr"/>
      <c r="K100" s="2" t="inlineStr"/>
      <c r="L100" s="2" t="inlineStr"/>
    </row>
    <row r="101" ht="36" customHeight="1">
      <c r="A101" s="2" t="inlineStr">
        <is>
          <t>TC-UI-001</t>
        </is>
      </c>
      <c r="B101" s="2" t="inlineStr">
        <is>
          <t>RC-AUTO-2026-10-07</t>
        </is>
      </c>
      <c r="C101" s="2" t="inlineStr">
        <is>
          <t>V0.2.0候选（分阶段构建，见证据时间）</t>
        </is>
      </c>
      <c r="D101" s="2" t="inlineStr">
        <is>
          <t>Win/Java21/MySQL8.4/Chrome</t>
        </is>
      </c>
      <c r="E101" s="2" t="inlineStr">
        <is>
          <t>registration_test；browser基线使用demo</t>
        </is>
      </c>
      <c r="F101" s="2" t="inlineStr">
        <is>
          <t>Codex自动执行</t>
        </is>
      </c>
      <c r="G101" s="2" t="inlineStr">
        <is>
          <t>PARTIAL</t>
        </is>
      </c>
      <c r="H101" s="2" t="inlineStr">
        <is>
          <t>已执行关联场景；未覆盖所有必测variant</t>
        </is>
      </c>
      <c r="I101" s="2" t="inlineStr"/>
      <c r="J101" s="2" t="inlineStr">
        <is>
          <t>验收证据/browser.json</t>
        </is>
      </c>
      <c r="K101" s="2" t="inlineStr">
        <is>
          <t>2026-10-06T16:57:56.747Z</t>
        </is>
      </c>
      <c r="L101" s="2" t="inlineStr">
        <is>
          <t>全变体通过且成员复核后才能标整条PASS；自动执行不代替人工签名</t>
        </is>
      </c>
    </row>
    <row r="102" ht="36" customHeight="1">
      <c r="A102" s="2" t="inlineStr">
        <is>
          <t>TC-UI-002</t>
        </is>
      </c>
      <c r="B102" s="2" t="inlineStr">
        <is>
          <t>RC-AUTO-2026-10-07</t>
        </is>
      </c>
      <c r="C102" s="2" t="inlineStr">
        <is>
          <t>V0.2.0候选（分阶段构建，见证据时间）</t>
        </is>
      </c>
      <c r="D102" s="2" t="inlineStr">
        <is>
          <t>Win/Java21/MySQL8.4/Chrome</t>
        </is>
      </c>
      <c r="E102" s="2" t="inlineStr">
        <is>
          <t>registration_test；browser基线使用demo</t>
        </is>
      </c>
      <c r="F102" s="2" t="inlineStr">
        <is>
          <t>Codex自动执行</t>
        </is>
      </c>
      <c r="G102" s="2" t="inlineStr">
        <is>
          <t>PARTIAL</t>
        </is>
      </c>
      <c r="H102" s="2" t="inlineStr">
        <is>
          <t>已执行关联场景；未覆盖所有必测variant</t>
        </is>
      </c>
      <c r="I102" s="2" t="inlineStr"/>
      <c r="J102" s="2" t="inlineStr">
        <is>
          <t>验收证据/browser.json;验收证据/rehearsal.json</t>
        </is>
      </c>
      <c r="K102" s="2" t="inlineStr">
        <is>
          <t>2026-10-06T16:57:56.747Z</t>
        </is>
      </c>
      <c r="L102" s="2" t="inlineStr">
        <is>
          <t>全变体通过且成员复核后才能标整条PASS；自动执行不代替人工签名</t>
        </is>
      </c>
    </row>
    <row r="103" ht="36" customHeight="1">
      <c r="A103" s="2" t="inlineStr">
        <is>
          <t>TC-UI-003</t>
        </is>
      </c>
      <c r="B103" s="2" t="inlineStr"/>
      <c r="C103" s="2" t="inlineStr"/>
      <c r="D103" s="2" t="inlineStr"/>
      <c r="E103" s="2" t="inlineStr"/>
      <c r="F103" s="2" t="inlineStr"/>
      <c r="G103" s="2" t="inlineStr">
        <is>
          <t>NOT_RUN</t>
        </is>
      </c>
      <c r="H103" s="2" t="inlineStr"/>
      <c r="I103" s="2" t="inlineStr"/>
      <c r="J103" s="2" t="inlineStr"/>
      <c r="K103" s="2" t="inlineStr"/>
      <c r="L103" s="2" t="inlineStr"/>
    </row>
    <row r="104" ht="36" customHeight="1">
      <c r="A104" s="2" t="inlineStr">
        <is>
          <t>TC-UI-004</t>
        </is>
      </c>
      <c r="B104" s="2" t="inlineStr"/>
      <c r="C104" s="2" t="inlineStr"/>
      <c r="D104" s="2" t="inlineStr"/>
      <c r="E104" s="2" t="inlineStr"/>
      <c r="F104" s="2" t="inlineStr"/>
      <c r="G104" s="2" t="inlineStr">
        <is>
          <t>NOT_RUN</t>
        </is>
      </c>
      <c r="H104" s="2" t="inlineStr"/>
      <c r="I104" s="2" t="inlineStr"/>
      <c r="J104" s="2" t="inlineStr"/>
      <c r="K104" s="2" t="inlineStr"/>
      <c r="L104" s="2" t="inlineStr"/>
    </row>
    <row r="105" ht="36" customHeight="1">
      <c r="A105" s="2" t="inlineStr">
        <is>
          <t>TC-UI-005</t>
        </is>
      </c>
      <c r="B105" s="2" t="inlineStr">
        <is>
          <t>RC-AUTO-2026-10-07</t>
        </is>
      </c>
      <c r="C105" s="2" t="inlineStr">
        <is>
          <t>V0.2.0候选（分阶段构建，见证据时间）</t>
        </is>
      </c>
      <c r="D105" s="2" t="inlineStr">
        <is>
          <t>Win/Java21/MySQL8.4/Chrome</t>
        </is>
      </c>
      <c r="E105" s="2" t="inlineStr">
        <is>
          <t>registration_test；browser基线使用demo</t>
        </is>
      </c>
      <c r="F105" s="2" t="inlineStr">
        <is>
          <t>Codex自动执行</t>
        </is>
      </c>
      <c r="G105" s="2" t="inlineStr">
        <is>
          <t>PARTIAL</t>
        </is>
      </c>
      <c r="H105" s="2" t="inlineStr">
        <is>
          <t>已执行关联场景；未覆盖所有必测variant</t>
        </is>
      </c>
      <c r="I105" s="2" t="inlineStr"/>
      <c r="J105" s="2" t="inlineStr">
        <is>
          <t>验收证据/rehearsal.json</t>
        </is>
      </c>
      <c r="K105" s="2" t="inlineStr">
        <is>
          <t>2026-10-06T16:57:49.954Z</t>
        </is>
      </c>
      <c r="L105" s="2" t="inlineStr">
        <is>
          <t>全变体通过且成员复核后才能标整条PASS；自动执行不代替人工签名</t>
        </is>
      </c>
    </row>
    <row r="106" ht="36" customHeight="1">
      <c r="A106" s="2" t="inlineStr">
        <is>
          <t>TC-UI-006</t>
        </is>
      </c>
      <c r="B106" s="2" t="inlineStr">
        <is>
          <t>RC-AUTO-2026-10-07</t>
        </is>
      </c>
      <c r="C106" s="2" t="inlineStr">
        <is>
          <t>V0.2.0候选（分阶段构建，见证据时间）</t>
        </is>
      </c>
      <c r="D106" s="2" t="inlineStr">
        <is>
          <t>Win/Java21/MySQL8.4/Chrome</t>
        </is>
      </c>
      <c r="E106" s="2" t="inlineStr">
        <is>
          <t>registration_test；browser基线使用demo</t>
        </is>
      </c>
      <c r="F106" s="2" t="inlineStr">
        <is>
          <t>Codex自动执行</t>
        </is>
      </c>
      <c r="G106" s="2" t="inlineStr">
        <is>
          <t>PARTIAL</t>
        </is>
      </c>
      <c r="H106" s="2" t="inlineStr">
        <is>
          <t>已执行关联场景；未覆盖所有必测variant</t>
        </is>
      </c>
      <c r="I106" s="2" t="inlineStr"/>
      <c r="J106" s="2" t="inlineStr">
        <is>
          <t>验收证据/browser.json;验收证据/rehearsal.json</t>
        </is>
      </c>
      <c r="K106" s="2" t="inlineStr">
        <is>
          <t>2026-10-06T16:57:56.747Z</t>
        </is>
      </c>
      <c r="L106" s="2" t="inlineStr">
        <is>
          <t>全变体通过且成员复核后才能标整条PASS；自动执行不代替人工签名</t>
        </is>
      </c>
    </row>
    <row r="107" ht="36" customHeight="1">
      <c r="A107" s="2" t="inlineStr">
        <is>
          <t>TC-UI-007</t>
        </is>
      </c>
      <c r="B107" s="2" t="inlineStr">
        <is>
          <t>RC-AUTO-2026-10-07</t>
        </is>
      </c>
      <c r="C107" s="2" t="inlineStr">
        <is>
          <t>V0.2.0候选（分阶段构建，见证据时间）</t>
        </is>
      </c>
      <c r="D107" s="2" t="inlineStr">
        <is>
          <t>Win/Java21/MySQL8.4/Chrome</t>
        </is>
      </c>
      <c r="E107" s="2" t="inlineStr">
        <is>
          <t>registration_test；browser基线使用demo</t>
        </is>
      </c>
      <c r="F107" s="2" t="inlineStr">
        <is>
          <t>Codex自动执行</t>
        </is>
      </c>
      <c r="G107" s="2" t="inlineStr">
        <is>
          <t>PARTIAL</t>
        </is>
      </c>
      <c r="H107" s="2" t="inlineStr">
        <is>
          <t>已执行关联场景；未覆盖所有必测variant</t>
        </is>
      </c>
      <c r="I107" s="2" t="inlineStr"/>
      <c r="J107" s="2" t="inlineStr">
        <is>
          <t>验收证据/rehearsal.json</t>
        </is>
      </c>
      <c r="K107" s="2" t="inlineStr">
        <is>
          <t>2026-10-06T16:57:49.954Z</t>
        </is>
      </c>
      <c r="L107" s="2" t="inlineStr">
        <is>
          <t>全变体通过且成员复核后才能标整条PASS；自动执行不代替人工签名</t>
        </is>
      </c>
    </row>
    <row r="108" ht="36" customHeight="1">
      <c r="A108" s="2" t="inlineStr">
        <is>
          <t>TC-UI-008</t>
        </is>
      </c>
      <c r="B108" s="2" t="inlineStr"/>
      <c r="C108" s="2" t="inlineStr"/>
      <c r="D108" s="2" t="inlineStr"/>
      <c r="E108" s="2" t="inlineStr"/>
      <c r="F108" s="2" t="inlineStr"/>
      <c r="G108" s="2" t="inlineStr">
        <is>
          <t>NOT_RUN</t>
        </is>
      </c>
      <c r="H108" s="2" t="inlineStr"/>
      <c r="I108" s="2" t="inlineStr"/>
      <c r="J108" s="2" t="inlineStr"/>
      <c r="K108" s="2" t="inlineStr"/>
      <c r="L108" s="2" t="inlineStr"/>
    </row>
    <row r="109" ht="36" customHeight="1">
      <c r="A109" s="2" t="inlineStr">
        <is>
          <t>TC-UI-009</t>
        </is>
      </c>
      <c r="B109" s="2" t="inlineStr">
        <is>
          <t>RC-AUTO-2026-10-07</t>
        </is>
      </c>
      <c r="C109" s="2" t="inlineStr">
        <is>
          <t>V0.2.0候选（分阶段构建，见证据时间）</t>
        </is>
      </c>
      <c r="D109" s="2" t="inlineStr">
        <is>
          <t>Win/Java21/MySQL8.4/Chrome</t>
        </is>
      </c>
      <c r="E109" s="2" t="inlineStr">
        <is>
          <t>registration_test；browser基线使用demo</t>
        </is>
      </c>
      <c r="F109" s="2" t="inlineStr">
        <is>
          <t>Codex自动执行</t>
        </is>
      </c>
      <c r="G109" s="2" t="inlineStr">
        <is>
          <t>PARTIAL</t>
        </is>
      </c>
      <c r="H109" s="2" t="inlineStr">
        <is>
          <t>已执行关联场景；未覆盖所有必测variant</t>
        </is>
      </c>
      <c r="I109" s="2" t="inlineStr"/>
      <c r="J109" s="2" t="inlineStr">
        <is>
          <t>验收证据/browser.json;验收证据/rehearsal.json</t>
        </is>
      </c>
      <c r="K109" s="2" t="inlineStr">
        <is>
          <t>2026-10-06T16:57:56.747Z</t>
        </is>
      </c>
      <c r="L109" s="2" t="inlineStr">
        <is>
          <t>全变体通过且成员复核后才能标整条PASS；自动执行不代替人工签名</t>
        </is>
      </c>
    </row>
    <row r="110" ht="36" customHeight="1">
      <c r="A110" s="2" t="inlineStr">
        <is>
          <t>TC-OPS-001</t>
        </is>
      </c>
      <c r="B110" s="2" t="inlineStr"/>
      <c r="C110" s="2" t="inlineStr"/>
      <c r="D110" s="2" t="inlineStr"/>
      <c r="E110" s="2" t="inlineStr"/>
      <c r="F110" s="2" t="inlineStr"/>
      <c r="G110" s="2" t="inlineStr">
        <is>
          <t>NOT_RUN</t>
        </is>
      </c>
      <c r="H110" s="2" t="inlineStr"/>
      <c r="I110" s="2" t="inlineStr"/>
      <c r="J110" s="2" t="inlineStr"/>
      <c r="K110" s="2" t="inlineStr"/>
      <c r="L110" s="2" t="inlineStr"/>
    </row>
    <row r="111" ht="36" customHeight="1">
      <c r="A111" s="2" t="inlineStr">
        <is>
          <t>TC-OPS-002</t>
        </is>
      </c>
      <c r="B111" s="2" t="inlineStr"/>
      <c r="C111" s="2" t="inlineStr"/>
      <c r="D111" s="2" t="inlineStr"/>
      <c r="E111" s="2" t="inlineStr"/>
      <c r="F111" s="2" t="inlineStr"/>
      <c r="G111" s="2" t="inlineStr">
        <is>
          <t>NOT_RUN</t>
        </is>
      </c>
      <c r="H111" s="2" t="inlineStr"/>
      <c r="I111" s="2" t="inlineStr"/>
      <c r="J111" s="2" t="inlineStr"/>
      <c r="K111" s="2" t="inlineStr"/>
      <c r="L111" s="2" t="inlineStr"/>
    </row>
    <row r="112" ht="36" customHeight="1">
      <c r="A112" s="2" t="inlineStr">
        <is>
          <t>TC-OPS-003</t>
        </is>
      </c>
      <c r="B112" s="2" t="inlineStr">
        <is>
          <t>RC-AUTO-2026-10-07</t>
        </is>
      </c>
      <c r="C112" s="2" t="inlineStr">
        <is>
          <t>V0.2.0候选（分阶段构建，见证据时间）</t>
        </is>
      </c>
      <c r="D112" s="2" t="inlineStr">
        <is>
          <t>Win/Java21/MySQL8.4/Chrome</t>
        </is>
      </c>
      <c r="E112" s="2" t="inlineStr">
        <is>
          <t>registration_test；browser基线使用demo</t>
        </is>
      </c>
      <c r="F112" s="2" t="inlineStr">
        <is>
          <t>Codex自动执行</t>
        </is>
      </c>
      <c r="G112" s="2" t="inlineStr">
        <is>
          <t>PARTIAL</t>
        </is>
      </c>
      <c r="H112" s="2" t="inlineStr">
        <is>
          <t>已执行关联场景；未覆盖所有必测variant</t>
        </is>
      </c>
      <c r="I112" s="2" t="inlineStr"/>
      <c r="J112" s="2" t="inlineStr">
        <is>
          <t>验收证据/backup-restore.json</t>
        </is>
      </c>
      <c r="K112" s="2" t="inlineStr">
        <is>
          <t>2026-10-06T16:55:36.518682+00:00</t>
        </is>
      </c>
      <c r="L112" s="2" t="inlineStr">
        <is>
          <t>全变体通过且成员复核后才能标整条PASS；自动执行不代替人工签名</t>
        </is>
      </c>
    </row>
    <row r="113" ht="36" customHeight="1">
      <c r="A113" s="2" t="inlineStr">
        <is>
          <t>TC-OPS-004</t>
        </is>
      </c>
      <c r="B113" s="2" t="inlineStr">
        <is>
          <t>RC-AUTO-2026-10-07</t>
        </is>
      </c>
      <c r="C113" s="2" t="inlineStr">
        <is>
          <t>V0.2.0候选（分阶段构建，见证据时间）</t>
        </is>
      </c>
      <c r="D113" s="2" t="inlineStr">
        <is>
          <t>Win/Java21/MySQL8.4/Chrome</t>
        </is>
      </c>
      <c r="E113" s="2" t="inlineStr">
        <is>
          <t>registration_test；browser基线使用demo</t>
        </is>
      </c>
      <c r="F113" s="2" t="inlineStr">
        <is>
          <t>Codex自动执行</t>
        </is>
      </c>
      <c r="G113" s="2" t="inlineStr">
        <is>
          <t>PARTIAL</t>
        </is>
      </c>
      <c r="H113" s="2" t="inlineStr">
        <is>
          <t>已执行关联场景；未覆盖所有必测variant</t>
        </is>
      </c>
      <c r="I113" s="2" t="inlineStr"/>
      <c r="J113" s="2" t="inlineStr">
        <is>
          <t>验收证据/restart-recovery.json</t>
        </is>
      </c>
      <c r="K113" s="2" t="inlineStr">
        <is>
          <t>2026-10-06T16:55:33.690993+00:00</t>
        </is>
      </c>
      <c r="L113" s="2" t="inlineStr">
        <is>
          <t>全变体通过且成员复核后才能标整条PASS；自动执行不代替人工签名</t>
        </is>
      </c>
    </row>
    <row r="114" ht="36" customHeight="1">
      <c r="A114" s="2" t="inlineStr">
        <is>
          <t>TC-OPS-005</t>
        </is>
      </c>
      <c r="B114" s="2" t="inlineStr"/>
      <c r="C114" s="2" t="inlineStr"/>
      <c r="D114" s="2" t="inlineStr"/>
      <c r="E114" s="2" t="inlineStr"/>
      <c r="F114" s="2" t="inlineStr"/>
      <c r="G114" s="2" t="inlineStr">
        <is>
          <t>NOT_RUN</t>
        </is>
      </c>
      <c r="H114" s="2" t="inlineStr"/>
      <c r="I114" s="2" t="inlineStr"/>
      <c r="J114" s="2" t="inlineStr"/>
      <c r="K114" s="2" t="inlineStr"/>
      <c r="L114" s="2" t="inlineStr"/>
    </row>
    <row r="115" ht="36" customHeight="1">
      <c r="A115" s="2" t="inlineStr">
        <is>
          <t>TC-OPS-006</t>
        </is>
      </c>
      <c r="B115" s="2" t="inlineStr"/>
      <c r="C115" s="2" t="inlineStr"/>
      <c r="D115" s="2" t="inlineStr"/>
      <c r="E115" s="2" t="inlineStr"/>
      <c r="F115" s="2" t="inlineStr"/>
      <c r="G115" s="2" t="inlineStr">
        <is>
          <t>NOT_RUN</t>
        </is>
      </c>
      <c r="H115" s="2" t="inlineStr"/>
      <c r="I115" s="2" t="inlineStr"/>
      <c r="J115" s="2" t="inlineStr"/>
      <c r="K115" s="2" t="inlineStr"/>
      <c r="L115" s="2" t="inlineStr"/>
    </row>
    <row r="116" ht="36" customHeight="1">
      <c r="A116" s="2" t="inlineStr">
        <is>
          <t>TC-OPS-007</t>
        </is>
      </c>
      <c r="B116" s="2" t="inlineStr"/>
      <c r="C116" s="2" t="inlineStr"/>
      <c r="D116" s="2" t="inlineStr"/>
      <c r="E116" s="2" t="inlineStr"/>
      <c r="F116" s="2" t="inlineStr"/>
      <c r="G116" s="2" t="inlineStr">
        <is>
          <t>NOT_RUN</t>
        </is>
      </c>
      <c r="H116" s="2" t="inlineStr"/>
      <c r="I116" s="2" t="inlineStr"/>
      <c r="J116" s="2" t="inlineStr"/>
      <c r="K116" s="2" t="inlineStr"/>
      <c r="L116" s="2" t="inlineStr"/>
    </row>
    <row r="117" ht="36" customHeight="1">
      <c r="A117" s="2" t="inlineStr">
        <is>
          <t>TC-OPS-008</t>
        </is>
      </c>
      <c r="B117" s="2" t="inlineStr"/>
      <c r="C117" s="2" t="inlineStr"/>
      <c r="D117" s="2" t="inlineStr"/>
      <c r="E117" s="2" t="inlineStr"/>
      <c r="F117" s="2" t="inlineStr"/>
      <c r="G117" s="2" t="inlineStr">
        <is>
          <t>NOT_RUN</t>
        </is>
      </c>
      <c r="H117" s="2" t="inlineStr"/>
      <c r="I117" s="2" t="inlineStr"/>
      <c r="J117" s="2" t="inlineStr"/>
      <c r="K117" s="2" t="inlineStr"/>
      <c r="L117" s="2" t="inlineStr"/>
    </row>
    <row r="118" ht="36" customHeight="1">
      <c r="A118" s="2" t="inlineStr">
        <is>
          <t>TC-OPS-009</t>
        </is>
      </c>
      <c r="B118" s="2" t="inlineStr">
        <is>
          <t>RC-AUTO-2026-10-07</t>
        </is>
      </c>
      <c r="C118" s="2" t="inlineStr">
        <is>
          <t>V0.2.0候选（分阶段构建，见证据时间）</t>
        </is>
      </c>
      <c r="D118" s="2" t="inlineStr">
        <is>
          <t>Win/Java21/MySQL8.4/Chrome</t>
        </is>
      </c>
      <c r="E118" s="2" t="inlineStr">
        <is>
          <t>registration_test；browser基线使用demo</t>
        </is>
      </c>
      <c r="F118" s="2" t="inlineStr">
        <is>
          <t>Codex自动执行</t>
        </is>
      </c>
      <c r="G118" s="2" t="inlineStr">
        <is>
          <t>PARTIAL</t>
        </is>
      </c>
      <c r="H118" s="2" t="inlineStr">
        <is>
          <t>已执行关联场景；未覆盖所有必测variant</t>
        </is>
      </c>
      <c r="I118" s="2" t="inlineStr"/>
      <c r="J118" s="2" t="inlineStr">
        <is>
          <t>验收证据/restart-recovery.json</t>
        </is>
      </c>
      <c r="K118" s="2" t="inlineStr">
        <is>
          <t>2026-10-06T16:55:33.690993+00:00</t>
        </is>
      </c>
      <c r="L118" s="2" t="inlineStr">
        <is>
          <t>全变体通过且成员复核后才能标整条PASS；自动执行不代替人工签名</t>
        </is>
      </c>
    </row>
    <row r="119" ht="36" customHeight="1">
      <c r="A119" s="2" t="inlineStr">
        <is>
          <t>TC-PERF-001</t>
        </is>
      </c>
      <c r="B119" s="2" t="inlineStr"/>
      <c r="C119" s="2" t="inlineStr"/>
      <c r="D119" s="2" t="inlineStr"/>
      <c r="E119" s="2" t="inlineStr"/>
      <c r="F119" s="2" t="inlineStr"/>
      <c r="G119" s="2" t="inlineStr">
        <is>
          <t>NOT_RUN</t>
        </is>
      </c>
      <c r="H119" s="2" t="inlineStr"/>
      <c r="I119" s="2" t="inlineStr"/>
      <c r="J119" s="2" t="inlineStr"/>
      <c r="K119" s="2" t="inlineStr"/>
      <c r="L119" s="2" t="inlineStr"/>
    </row>
    <row r="120" ht="36" customHeight="1">
      <c r="A120" s="2" t="inlineStr">
        <is>
          <t>TC-PERF-002</t>
        </is>
      </c>
      <c r="B120" s="2" t="inlineStr">
        <is>
          <t>RC-AUTO-2026-10-07</t>
        </is>
      </c>
      <c r="C120" s="2" t="inlineStr">
        <is>
          <t>V0.2.0候选（分阶段构建，见证据时间）</t>
        </is>
      </c>
      <c r="D120" s="2" t="inlineStr">
        <is>
          <t>Win/Java21/MySQL8.4/Chrome</t>
        </is>
      </c>
      <c r="E120" s="2" t="inlineStr">
        <is>
          <t>registration_test；browser基线使用demo</t>
        </is>
      </c>
      <c r="F120" s="2" t="inlineStr">
        <is>
          <t>Codex自动执行</t>
        </is>
      </c>
      <c r="G120" s="2" t="inlineStr">
        <is>
          <t>PARTIAL</t>
        </is>
      </c>
      <c r="H120" s="2" t="inlineStr">
        <is>
          <t>已执行关联场景；未覆盖所有必测variant</t>
        </is>
      </c>
      <c r="I120" s="2" t="inlineStr"/>
      <c r="J120" s="2" t="inlineStr">
        <is>
          <t>验收证据/mixed-load.json</t>
        </is>
      </c>
      <c r="K120" s="2" t="inlineStr">
        <is>
          <t>2026-10-06T16:53:23.301813+00:00</t>
        </is>
      </c>
      <c r="L120" s="2" t="inlineStr">
        <is>
          <t>全变体通过且成员复核后才能标整条PASS；自动执行不代替人工签名</t>
        </is>
      </c>
    </row>
    <row r="121" ht="36" customHeight="1">
      <c r="A121" s="2" t="inlineStr">
        <is>
          <t>TC-PERF-003</t>
        </is>
      </c>
      <c r="B121" s="2" t="inlineStr"/>
      <c r="C121" s="2" t="inlineStr"/>
      <c r="D121" s="2" t="inlineStr"/>
      <c r="E121" s="2" t="inlineStr"/>
      <c r="F121" s="2" t="inlineStr"/>
      <c r="G121" s="2" t="inlineStr">
        <is>
          <t>NOT_RUN</t>
        </is>
      </c>
      <c r="H121" s="2" t="inlineStr"/>
      <c r="I121" s="2" t="inlineStr"/>
      <c r="J121" s="2" t="inlineStr"/>
      <c r="K121" s="2" t="inlineStr"/>
      <c r="L121" s="2" t="inlineStr"/>
    </row>
    <row r="122" ht="36" customHeight="1">
      <c r="A122" s="2" t="inlineStr">
        <is>
          <t>TC-PERF-004</t>
        </is>
      </c>
      <c r="B122" s="2" t="inlineStr"/>
      <c r="C122" s="2" t="inlineStr"/>
      <c r="D122" s="2" t="inlineStr"/>
      <c r="E122" s="2" t="inlineStr"/>
      <c r="F122" s="2" t="inlineStr"/>
      <c r="G122" s="2" t="inlineStr">
        <is>
          <t>NOT_RUN</t>
        </is>
      </c>
      <c r="H122" s="2" t="inlineStr"/>
      <c r="I122" s="2" t="inlineStr"/>
      <c r="J122" s="2" t="inlineStr"/>
      <c r="K122" s="2" t="inlineStr"/>
      <c r="L122" s="2" t="inlineStr"/>
    </row>
    <row r="123" ht="36" customHeight="1">
      <c r="A123" s="2" t="inlineStr">
        <is>
          <t>TC-PERF-005</t>
        </is>
      </c>
      <c r="B123" s="2" t="inlineStr"/>
      <c r="C123" s="2" t="inlineStr"/>
      <c r="D123" s="2" t="inlineStr"/>
      <c r="E123" s="2" t="inlineStr"/>
      <c r="F123" s="2" t="inlineStr"/>
      <c r="G123" s="2" t="inlineStr">
        <is>
          <t>NOT_RUN</t>
        </is>
      </c>
      <c r="H123" s="2" t="inlineStr"/>
      <c r="I123" s="2" t="inlineStr"/>
      <c r="J123" s="2" t="inlineStr"/>
      <c r="K123" s="2" t="inlineStr"/>
      <c r="L123" s="2" t="inlineStr"/>
    </row>
    <row r="124" ht="36" customHeight="1">
      <c r="A124" s="2" t="inlineStr">
        <is>
          <t>TC-PERF-006</t>
        </is>
      </c>
      <c r="B124" s="2" t="inlineStr"/>
      <c r="C124" s="2" t="inlineStr"/>
      <c r="D124" s="2" t="inlineStr"/>
      <c r="E124" s="2" t="inlineStr"/>
      <c r="F124" s="2" t="inlineStr"/>
      <c r="G124" s="2" t="inlineStr">
        <is>
          <t>NOT_RUN</t>
        </is>
      </c>
      <c r="H124" s="2" t="inlineStr"/>
      <c r="I124" s="2" t="inlineStr"/>
      <c r="J124" s="2" t="inlineStr"/>
      <c r="K124" s="2" t="inlineStr"/>
      <c r="L124" s="2" t="inlineStr"/>
    </row>
    <row r="125" ht="36" customHeight="1">
      <c r="A125" s="2" t="inlineStr">
        <is>
          <t>TC-PERF-007</t>
        </is>
      </c>
      <c r="B125" s="2" t="inlineStr"/>
      <c r="C125" s="2" t="inlineStr"/>
      <c r="D125" s="2" t="inlineStr"/>
      <c r="E125" s="2" t="inlineStr"/>
      <c r="F125" s="2" t="inlineStr"/>
      <c r="G125" s="2" t="inlineStr">
        <is>
          <t>NOT_RUN</t>
        </is>
      </c>
      <c r="H125" s="2" t="inlineStr"/>
      <c r="I125" s="2" t="inlineStr"/>
      <c r="J125" s="2" t="inlineStr"/>
      <c r="K125" s="2" t="inlineStr"/>
      <c r="L125" s="2" t="inlineStr"/>
    </row>
    <row r="126" ht="36" customHeight="1">
      <c r="A126" s="2" t="inlineStr">
        <is>
          <t>TC-PERF-008</t>
        </is>
      </c>
      <c r="B126" s="2" t="inlineStr"/>
      <c r="C126" s="2" t="inlineStr"/>
      <c r="D126" s="2" t="inlineStr"/>
      <c r="E126" s="2" t="inlineStr"/>
      <c r="F126" s="2" t="inlineStr"/>
      <c r="G126" s="2" t="inlineStr">
        <is>
          <t>NOT_RUN</t>
        </is>
      </c>
      <c r="H126" s="2" t="inlineStr"/>
      <c r="I126" s="2" t="inlineStr"/>
      <c r="J126" s="2" t="inlineStr"/>
      <c r="K126" s="2" t="inlineStr"/>
      <c r="L126" s="2" t="inlineStr"/>
    </row>
    <row r="127" ht="36" customHeight="1">
      <c r="A127" s="2" t="inlineStr">
        <is>
          <t>TC-PERF-009</t>
        </is>
      </c>
      <c r="B127" s="2" t="inlineStr"/>
      <c r="C127" s="2" t="inlineStr"/>
      <c r="D127" s="2" t="inlineStr"/>
      <c r="E127" s="2" t="inlineStr"/>
      <c r="F127" s="2" t="inlineStr"/>
      <c r="G127" s="2" t="inlineStr">
        <is>
          <t>NOT_RUN</t>
        </is>
      </c>
      <c r="H127" s="2" t="inlineStr"/>
      <c r="I127" s="2" t="inlineStr"/>
      <c r="J127" s="2" t="inlineStr"/>
      <c r="K127" s="2" t="inlineStr"/>
      <c r="L127" s="2" t="inlineStr"/>
    </row>
    <row r="128" ht="36" customHeight="1">
      <c r="A128" s="2" t="inlineStr">
        <is>
          <t>TC-AVAIL-001</t>
        </is>
      </c>
      <c r="B128" s="2" t="inlineStr"/>
      <c r="C128" s="2" t="inlineStr"/>
      <c r="D128" s="2" t="inlineStr"/>
      <c r="E128" s="2" t="inlineStr"/>
      <c r="F128" s="2" t="inlineStr"/>
      <c r="G128" s="2" t="inlineStr">
        <is>
          <t>NOT_RUN</t>
        </is>
      </c>
      <c r="H128" s="2" t="inlineStr"/>
      <c r="I128" s="2" t="inlineStr"/>
      <c r="J128" s="2" t="inlineStr"/>
      <c r="K128" s="2" t="inlineStr"/>
      <c r="L128" s="2" t="inlineStr"/>
    </row>
    <row r="129" ht="36" customHeight="1">
      <c r="A129" s="2" t="inlineStr">
        <is>
          <t>TC-AVAIL-002</t>
        </is>
      </c>
      <c r="B129" s="2" t="inlineStr"/>
      <c r="C129" s="2" t="inlineStr"/>
      <c r="D129" s="2" t="inlineStr"/>
      <c r="E129" s="2" t="inlineStr"/>
      <c r="F129" s="2" t="inlineStr"/>
      <c r="G129" s="2" t="inlineStr">
        <is>
          <t>NOT_RUN</t>
        </is>
      </c>
      <c r="H129" s="2" t="inlineStr"/>
      <c r="I129" s="2" t="inlineStr"/>
      <c r="J129" s="2" t="inlineStr"/>
      <c r="K129" s="2" t="inlineStr"/>
      <c r="L129" s="2" t="inlineStr"/>
    </row>
    <row r="130" ht="36" customHeight="1">
      <c r="A130" s="2" t="inlineStr">
        <is>
          <t>TC-API-001</t>
        </is>
      </c>
      <c r="B130" s="2" t="inlineStr"/>
      <c r="C130" s="2" t="inlineStr"/>
      <c r="D130" s="2" t="inlineStr"/>
      <c r="E130" s="2" t="inlineStr"/>
      <c r="F130" s="2" t="inlineStr"/>
      <c r="G130" s="2" t="inlineStr">
        <is>
          <t>NOT_RUN</t>
        </is>
      </c>
      <c r="H130" s="2" t="inlineStr"/>
      <c r="I130" s="2" t="inlineStr"/>
      <c r="J130" s="2" t="inlineStr"/>
      <c r="K130" s="2" t="inlineStr"/>
      <c r="L130" s="2" t="inlineStr"/>
    </row>
    <row r="131" ht="36" customHeight="1">
      <c r="A131" s="2" t="inlineStr">
        <is>
          <t>TC-API-002</t>
        </is>
      </c>
      <c r="B131" s="2" t="inlineStr"/>
      <c r="C131" s="2" t="inlineStr"/>
      <c r="D131" s="2" t="inlineStr"/>
      <c r="E131" s="2" t="inlineStr"/>
      <c r="F131" s="2" t="inlineStr"/>
      <c r="G131" s="2" t="inlineStr">
        <is>
          <t>NOT_RUN</t>
        </is>
      </c>
      <c r="H131" s="2" t="inlineStr"/>
      <c r="I131" s="2" t="inlineStr"/>
      <c r="J131" s="2" t="inlineStr"/>
      <c r="K131" s="2" t="inlineStr"/>
      <c r="L131" s="2" t="inlineStr"/>
    </row>
    <row r="132" ht="36" customHeight="1">
      <c r="A132" s="2" t="inlineStr">
        <is>
          <t>TC-API-003</t>
        </is>
      </c>
      <c r="B132" s="2" t="inlineStr">
        <is>
          <t>RC-AUTO-2026-10-07</t>
        </is>
      </c>
      <c r="C132" s="2" t="inlineStr">
        <is>
          <t>V0.2.0候选（分阶段构建，见证据时间）</t>
        </is>
      </c>
      <c r="D132" s="2" t="inlineStr">
        <is>
          <t>Win/Java21/MySQL8.4/Chrome</t>
        </is>
      </c>
      <c r="E132" s="2" t="inlineStr">
        <is>
          <t>registration_test；browser基线使用demo</t>
        </is>
      </c>
      <c r="F132" s="2" t="inlineStr">
        <is>
          <t>Codex自动执行</t>
        </is>
      </c>
      <c r="G132" s="2" t="inlineStr">
        <is>
          <t>PARTIAL</t>
        </is>
      </c>
      <c r="H132" s="2" t="inlineStr">
        <is>
          <t>已执行关联场景；未覆盖所有必测variant</t>
        </is>
      </c>
      <c r="I132" s="2" t="inlineStr"/>
      <c r="J132" s="2" t="inlineStr">
        <is>
          <t>验收证据/acceptance.json;验收证据/integration.json</t>
        </is>
      </c>
      <c r="K132" s="2" t="inlineStr">
        <is>
          <t>2026-10-06T16:45:38.735388+00:00</t>
        </is>
      </c>
      <c r="L132" s="2" t="inlineStr">
        <is>
          <t>全变体通过且成员复核后才能标整条PASS；自动执行不代替人工签名</t>
        </is>
      </c>
    </row>
    <row r="133" ht="36" customHeight="1">
      <c r="A133" s="2" t="inlineStr">
        <is>
          <t>TC-API-004</t>
        </is>
      </c>
      <c r="B133" s="2" t="inlineStr"/>
      <c r="C133" s="2" t="inlineStr"/>
      <c r="D133" s="2" t="inlineStr"/>
      <c r="E133" s="2" t="inlineStr"/>
      <c r="F133" s="2" t="inlineStr"/>
      <c r="G133" s="2" t="inlineStr">
        <is>
          <t>NOT_RUN</t>
        </is>
      </c>
      <c r="H133" s="2" t="inlineStr"/>
      <c r="I133" s="2" t="inlineStr"/>
      <c r="J133" s="2" t="inlineStr"/>
      <c r="K133" s="2" t="inlineStr"/>
      <c r="L133" s="2" t="inlineStr"/>
    </row>
    <row r="134" ht="36" customHeight="1">
      <c r="A134" s="2" t="inlineStr">
        <is>
          <t>TC-API-005</t>
        </is>
      </c>
      <c r="B134" s="2" t="inlineStr">
        <is>
          <t>RC-AUTO-2026-10-07</t>
        </is>
      </c>
      <c r="C134" s="2" t="inlineStr">
        <is>
          <t>V0.2.0候选（分阶段构建，见证据时间）</t>
        </is>
      </c>
      <c r="D134" s="2" t="inlineStr">
        <is>
          <t>Win/Java21/MySQL8.4/Chrome</t>
        </is>
      </c>
      <c r="E134" s="2" t="inlineStr">
        <is>
          <t>registration_test；browser基线使用demo</t>
        </is>
      </c>
      <c r="F134" s="2" t="inlineStr">
        <is>
          <t>Codex自动执行</t>
        </is>
      </c>
      <c r="G134" s="2" t="inlineStr">
        <is>
          <t>PARTIAL</t>
        </is>
      </c>
      <c r="H134" s="2" t="inlineStr">
        <is>
          <t>已执行关联场景；未覆盖所有必测variant</t>
        </is>
      </c>
      <c r="I134" s="2" t="inlineStr"/>
      <c r="J134" s="2" t="inlineStr">
        <is>
          <t>验收证据/browser.json</t>
        </is>
      </c>
      <c r="K134" s="2" t="inlineStr">
        <is>
          <t>2026-10-06T16:57:56.747Z</t>
        </is>
      </c>
      <c r="L134" s="2" t="inlineStr">
        <is>
          <t>全变体通过且成员复核后才能标整条PASS；自动执行不代替人工签名</t>
        </is>
      </c>
    </row>
    <row r="135" ht="36" customHeight="1">
      <c r="A135" s="2" t="inlineStr">
        <is>
          <t>TC-API-006</t>
        </is>
      </c>
      <c r="B135" s="2" t="inlineStr">
        <is>
          <t>RC-AUTO-2026-10-07</t>
        </is>
      </c>
      <c r="C135" s="2" t="inlineStr">
        <is>
          <t>V0.2.0候选（分阶段构建，见证据时间）</t>
        </is>
      </c>
      <c r="D135" s="2" t="inlineStr">
        <is>
          <t>Win/Java21/MySQL8.4/Chrome</t>
        </is>
      </c>
      <c r="E135" s="2" t="inlineStr">
        <is>
          <t>registration_test；browser基线使用demo</t>
        </is>
      </c>
      <c r="F135" s="2" t="inlineStr">
        <is>
          <t>Codex自动执行</t>
        </is>
      </c>
      <c r="G135" s="2" t="inlineStr">
        <is>
          <t>PARTIAL</t>
        </is>
      </c>
      <c r="H135" s="2" t="inlineStr">
        <is>
          <t>已执行关联场景；未覆盖所有必测variant</t>
        </is>
      </c>
      <c r="I135" s="2" t="inlineStr"/>
      <c r="J135" s="2" t="inlineStr">
        <is>
          <t>验收证据/acceptance.json</t>
        </is>
      </c>
      <c r="K135" s="2" t="inlineStr">
        <is>
          <t>2026-10-06T16:45:38.735388+00:00</t>
        </is>
      </c>
      <c r="L135" s="2" t="inlineStr">
        <is>
          <t>全变体通过且成员复核后才能标整条PASS；自动执行不代替人工签名</t>
        </is>
      </c>
    </row>
    <row r="136" ht="36" customHeight="1">
      <c r="A136" s="2" t="inlineStr">
        <is>
          <t>TC-API-007</t>
        </is>
      </c>
      <c r="B136" s="2" t="inlineStr"/>
      <c r="C136" s="2" t="inlineStr"/>
      <c r="D136" s="2" t="inlineStr"/>
      <c r="E136" s="2" t="inlineStr"/>
      <c r="F136" s="2" t="inlineStr"/>
      <c r="G136" s="2" t="inlineStr">
        <is>
          <t>NOT_RUN</t>
        </is>
      </c>
      <c r="H136" s="2" t="inlineStr"/>
      <c r="I136" s="2" t="inlineStr"/>
      <c r="J136" s="2" t="inlineStr"/>
      <c r="K136" s="2" t="inlineStr"/>
      <c r="L136" s="2" t="inlineStr"/>
    </row>
    <row r="137" ht="36" customHeight="1">
      <c r="A137" s="2" t="inlineStr">
        <is>
          <t>TC-API-008</t>
        </is>
      </c>
      <c r="B137" s="2" t="inlineStr"/>
      <c r="C137" s="2" t="inlineStr"/>
      <c r="D137" s="2" t="inlineStr"/>
      <c r="E137" s="2" t="inlineStr"/>
      <c r="F137" s="2" t="inlineStr"/>
      <c r="G137" s="2" t="inlineStr">
        <is>
          <t>NOT_RUN</t>
        </is>
      </c>
      <c r="H137" s="2" t="inlineStr"/>
      <c r="I137" s="2" t="inlineStr"/>
      <c r="J137" s="2" t="inlineStr"/>
      <c r="K137" s="2" t="inlineStr"/>
      <c r="L137" s="2" t="inlineStr"/>
    </row>
    <row r="138" ht="36" customHeight="1">
      <c r="A138" s="2" t="inlineStr">
        <is>
          <t>TC-DB-001</t>
        </is>
      </c>
      <c r="B138" s="2" t="inlineStr"/>
      <c r="C138" s="2" t="inlineStr"/>
      <c r="D138" s="2" t="inlineStr"/>
      <c r="E138" s="2" t="inlineStr"/>
      <c r="F138" s="2" t="inlineStr"/>
      <c r="G138" s="2" t="inlineStr">
        <is>
          <t>NOT_RUN</t>
        </is>
      </c>
      <c r="H138" s="2" t="inlineStr"/>
      <c r="I138" s="2" t="inlineStr"/>
      <c r="J138" s="2" t="inlineStr"/>
      <c r="K138" s="2" t="inlineStr"/>
      <c r="L138" s="2" t="inlineStr"/>
    </row>
    <row r="139" ht="36" customHeight="1">
      <c r="A139" s="2" t="inlineStr">
        <is>
          <t>TC-DB-002</t>
        </is>
      </c>
      <c r="B139" s="2" t="inlineStr"/>
      <c r="C139" s="2" t="inlineStr"/>
      <c r="D139" s="2" t="inlineStr"/>
      <c r="E139" s="2" t="inlineStr"/>
      <c r="F139" s="2" t="inlineStr"/>
      <c r="G139" s="2" t="inlineStr">
        <is>
          <t>NOT_RUN</t>
        </is>
      </c>
      <c r="H139" s="2" t="inlineStr"/>
      <c r="I139" s="2" t="inlineStr"/>
      <c r="J139" s="2" t="inlineStr"/>
      <c r="K139" s="2" t="inlineStr"/>
      <c r="L139" s="2" t="inlineStr"/>
    </row>
    <row r="140" ht="36" customHeight="1">
      <c r="A140" s="2" t="inlineStr">
        <is>
          <t>TC-DB-003</t>
        </is>
      </c>
      <c r="B140" s="2" t="inlineStr"/>
      <c r="C140" s="2" t="inlineStr"/>
      <c r="D140" s="2" t="inlineStr"/>
      <c r="E140" s="2" t="inlineStr"/>
      <c r="F140" s="2" t="inlineStr"/>
      <c r="G140" s="2" t="inlineStr">
        <is>
          <t>NOT_RUN</t>
        </is>
      </c>
      <c r="H140" s="2" t="inlineStr"/>
      <c r="I140" s="2" t="inlineStr"/>
      <c r="J140" s="2" t="inlineStr"/>
      <c r="K140" s="2" t="inlineStr"/>
      <c r="L140" s="2" t="inlineStr"/>
    </row>
    <row r="141" ht="36" customHeight="1">
      <c r="A141" s="2" t="inlineStr">
        <is>
          <t>TC-DB-004</t>
        </is>
      </c>
      <c r="B141" s="2" t="inlineStr">
        <is>
          <t>RC-AUTO-2026-10-07</t>
        </is>
      </c>
      <c r="C141" s="2" t="inlineStr">
        <is>
          <t>V0.2.0候选（分阶段构建，见证据时间）</t>
        </is>
      </c>
      <c r="D141" s="2" t="inlineStr">
        <is>
          <t>Win/Java21/MySQL8.4/Chrome</t>
        </is>
      </c>
      <c r="E141" s="2" t="inlineStr">
        <is>
          <t>registration_test；browser基线使用demo</t>
        </is>
      </c>
      <c r="F141" s="2" t="inlineStr">
        <is>
          <t>Codex自动执行</t>
        </is>
      </c>
      <c r="G141" s="2" t="inlineStr">
        <is>
          <t>PARTIAL</t>
        </is>
      </c>
      <c r="H141" s="2" t="inlineStr">
        <is>
          <t>已执行关联场景；未覆盖所有必测variant</t>
        </is>
      </c>
      <c r="I141" s="2" t="inlineStr"/>
      <c r="J141" s="2" t="inlineStr">
        <is>
          <t>验收证据/acceptance.json</t>
        </is>
      </c>
      <c r="K141" s="2" t="inlineStr">
        <is>
          <t>2026-10-06T16:45:38.735388+00:00</t>
        </is>
      </c>
      <c r="L141" s="2" t="inlineStr">
        <is>
          <t>全变体通过且成员复核后才能标整条PASS；自动执行不代替人工签名</t>
        </is>
      </c>
    </row>
    <row r="142" ht="36" customHeight="1">
      <c r="A142" s="2" t="inlineStr">
        <is>
          <t>TC-DB-005</t>
        </is>
      </c>
      <c r="B142" s="2" t="inlineStr"/>
      <c r="C142" s="2" t="inlineStr"/>
      <c r="D142" s="2" t="inlineStr"/>
      <c r="E142" s="2" t="inlineStr"/>
      <c r="F142" s="2" t="inlineStr"/>
      <c r="G142" s="2" t="inlineStr">
        <is>
          <t>NOT_RUN</t>
        </is>
      </c>
      <c r="H142" s="2" t="inlineStr"/>
      <c r="I142" s="2" t="inlineStr"/>
      <c r="J142" s="2" t="inlineStr"/>
      <c r="K142" s="2" t="inlineStr"/>
      <c r="L142" s="2" t="inlineStr"/>
    </row>
    <row r="143" ht="36" customHeight="1">
      <c r="A143" s="2" t="inlineStr">
        <is>
          <t>TC-DB-006</t>
        </is>
      </c>
      <c r="B143" s="2" t="inlineStr"/>
      <c r="C143" s="2" t="inlineStr"/>
      <c r="D143" s="2" t="inlineStr"/>
      <c r="E143" s="2" t="inlineStr"/>
      <c r="F143" s="2" t="inlineStr"/>
      <c r="G143" s="2" t="inlineStr">
        <is>
          <t>NOT_RUN</t>
        </is>
      </c>
      <c r="H143" s="2" t="inlineStr"/>
      <c r="I143" s="2" t="inlineStr"/>
      <c r="J143" s="2" t="inlineStr"/>
      <c r="K143" s="2" t="inlineStr"/>
      <c r="L143" s="2" t="inlineStr"/>
    </row>
    <row r="144" ht="36" customHeight="1">
      <c r="A144" s="2" t="inlineStr">
        <is>
          <t>TC-DB-007</t>
        </is>
      </c>
      <c r="B144" s="2" t="inlineStr"/>
      <c r="C144" s="2" t="inlineStr"/>
      <c r="D144" s="2" t="inlineStr"/>
      <c r="E144" s="2" t="inlineStr"/>
      <c r="F144" s="2" t="inlineStr"/>
      <c r="G144" s="2" t="inlineStr">
        <is>
          <t>NOT_RUN</t>
        </is>
      </c>
      <c r="H144" s="2" t="inlineStr"/>
      <c r="I144" s="2" t="inlineStr"/>
      <c r="J144" s="2" t="inlineStr"/>
      <c r="K144" s="2" t="inlineStr"/>
      <c r="L144" s="2" t="inlineStr"/>
    </row>
    <row r="145" ht="36" customHeight="1">
      <c r="A145" s="2" t="inlineStr">
        <is>
          <t>TC-DB-008</t>
        </is>
      </c>
      <c r="B145" s="2" t="inlineStr">
        <is>
          <t>RC-AUTO-2026-10-07</t>
        </is>
      </c>
      <c r="C145" s="2" t="inlineStr">
        <is>
          <t>V0.2.0候选（分阶段构建，见证据时间）</t>
        </is>
      </c>
      <c r="D145" s="2" t="inlineStr">
        <is>
          <t>Win/Java21/MySQL8.4/Chrome</t>
        </is>
      </c>
      <c r="E145" s="2" t="inlineStr">
        <is>
          <t>registration_test；browser基线使用demo</t>
        </is>
      </c>
      <c r="F145" s="2" t="inlineStr">
        <is>
          <t>Codex自动执行</t>
        </is>
      </c>
      <c r="G145" s="2" t="inlineStr">
        <is>
          <t>PARTIAL</t>
        </is>
      </c>
      <c r="H145" s="2" t="inlineStr">
        <is>
          <t>已执行关联场景；未覆盖所有必测variant</t>
        </is>
      </c>
      <c r="I145" s="2" t="inlineStr"/>
      <c r="J145" s="2" t="inlineStr">
        <is>
          <t>验收证据/integration.json</t>
        </is>
      </c>
      <c r="K145" s="2" t="inlineStr">
        <is>
          <t>2026-10-06T16:45:13.806207+00:00</t>
        </is>
      </c>
      <c r="L145" s="2" t="inlineStr">
        <is>
          <t>全变体通过且成员复核后才能标整条PASS；自动执行不代替人工签名</t>
        </is>
      </c>
    </row>
    <row r="146" ht="36" customHeight="1">
      <c r="A146" s="2" t="inlineStr">
        <is>
          <t>TC-DB-009</t>
        </is>
      </c>
      <c r="B146" s="2" t="inlineStr"/>
      <c r="C146" s="2" t="inlineStr"/>
      <c r="D146" s="2" t="inlineStr"/>
      <c r="E146" s="2" t="inlineStr"/>
      <c r="F146" s="2" t="inlineStr"/>
      <c r="G146" s="2" t="inlineStr">
        <is>
          <t>NOT_RUN</t>
        </is>
      </c>
      <c r="H146" s="2" t="inlineStr"/>
      <c r="I146" s="2" t="inlineStr"/>
      <c r="J146" s="2" t="inlineStr"/>
      <c r="K146" s="2" t="inlineStr"/>
      <c r="L146" s="2" t="inlineStr"/>
    </row>
    <row r="147" ht="36" customHeight="1">
      <c r="A147" s="2" t="inlineStr">
        <is>
          <t>TC-DB-010</t>
        </is>
      </c>
      <c r="B147" s="2" t="inlineStr"/>
      <c r="C147" s="2" t="inlineStr"/>
      <c r="D147" s="2" t="inlineStr"/>
      <c r="E147" s="2" t="inlineStr"/>
      <c r="F147" s="2" t="inlineStr"/>
      <c r="G147" s="2" t="inlineStr">
        <is>
          <t>NOT_RUN</t>
        </is>
      </c>
      <c r="H147" s="2" t="inlineStr"/>
      <c r="I147" s="2" t="inlineStr"/>
      <c r="J147" s="2" t="inlineStr"/>
      <c r="K147" s="2" t="inlineStr"/>
      <c r="L147" s="2" t="inlineStr"/>
    </row>
    <row r="148" ht="36" customHeight="1">
      <c r="A148" s="2" t="inlineStr">
        <is>
          <t>TC-PRIV-001</t>
        </is>
      </c>
      <c r="B148" s="2" t="inlineStr">
        <is>
          <t>RC-AUTO-2026-10-07</t>
        </is>
      </c>
      <c r="C148" s="2" t="inlineStr">
        <is>
          <t>V0.2.0候选（分阶段构建，见证据时间）</t>
        </is>
      </c>
      <c r="D148" s="2" t="inlineStr">
        <is>
          <t>Win/Java21/MySQL8.4/Chrome</t>
        </is>
      </c>
      <c r="E148" s="2" t="inlineStr">
        <is>
          <t>registration_test；browser基线使用demo</t>
        </is>
      </c>
      <c r="F148" s="2" t="inlineStr">
        <is>
          <t>Codex自动执行</t>
        </is>
      </c>
      <c r="G148" s="2" t="inlineStr">
        <is>
          <t>PARTIAL</t>
        </is>
      </c>
      <c r="H148" s="2" t="inlineStr">
        <is>
          <t>已执行关联场景；未覆盖所有必测variant</t>
        </is>
      </c>
      <c r="I148" s="2" t="inlineStr"/>
      <c r="J148" s="2" t="inlineStr">
        <is>
          <t>验收证据/acceptance.json</t>
        </is>
      </c>
      <c r="K148" s="2" t="inlineStr">
        <is>
          <t>2026-10-06T16:45:38.735388+00:00</t>
        </is>
      </c>
      <c r="L148" s="2" t="inlineStr">
        <is>
          <t>全变体通过且成员复核后才能标整条PASS；自动执行不代替人工签名</t>
        </is>
      </c>
    </row>
    <row r="149" ht="36" customHeight="1">
      <c r="A149" s="2" t="inlineStr">
        <is>
          <t>TC-PRIV-002</t>
        </is>
      </c>
      <c r="B149" s="2" t="inlineStr"/>
      <c r="C149" s="2" t="inlineStr"/>
      <c r="D149" s="2" t="inlineStr"/>
      <c r="E149" s="2" t="inlineStr"/>
      <c r="F149" s="2" t="inlineStr"/>
      <c r="G149" s="2" t="inlineStr">
        <is>
          <t>NOT_RUN</t>
        </is>
      </c>
      <c r="H149" s="2" t="inlineStr"/>
      <c r="I149" s="2" t="inlineStr"/>
      <c r="J149" s="2" t="inlineStr"/>
      <c r="K149" s="2" t="inlineStr"/>
      <c r="L149" s="2" t="inlineStr"/>
    </row>
    <row r="150" ht="36" customHeight="1">
      <c r="A150" s="2" t="inlineStr">
        <is>
          <t>TC-PRIV-003</t>
        </is>
      </c>
      <c r="B150" s="2" t="inlineStr"/>
      <c r="C150" s="2" t="inlineStr"/>
      <c r="D150" s="2" t="inlineStr"/>
      <c r="E150" s="2" t="inlineStr"/>
      <c r="F150" s="2" t="inlineStr"/>
      <c r="G150" s="2" t="inlineStr">
        <is>
          <t>NOT_RUN</t>
        </is>
      </c>
      <c r="H150" s="2" t="inlineStr"/>
      <c r="I150" s="2" t="inlineStr"/>
      <c r="J150" s="2" t="inlineStr"/>
      <c r="K150" s="2" t="inlineStr"/>
      <c r="L150" s="2" t="inlineStr"/>
    </row>
    <row r="151" ht="36" customHeight="1">
      <c r="A151" s="2" t="inlineStr">
        <is>
          <t>TC-PRIV-004</t>
        </is>
      </c>
      <c r="B151" s="2" t="inlineStr"/>
      <c r="C151" s="2" t="inlineStr"/>
      <c r="D151" s="2" t="inlineStr"/>
      <c r="E151" s="2" t="inlineStr"/>
      <c r="F151" s="2" t="inlineStr"/>
      <c r="G151" s="2" t="inlineStr">
        <is>
          <t>NOT_RUN</t>
        </is>
      </c>
      <c r="H151" s="2" t="inlineStr"/>
      <c r="I151" s="2" t="inlineStr"/>
      <c r="J151" s="2" t="inlineStr"/>
      <c r="K151" s="2" t="inlineStr"/>
      <c r="L151" s="2" t="inlineStr"/>
    </row>
    <row r="152" ht="36" customHeight="1">
      <c r="A152" s="2" t="inlineStr">
        <is>
          <t>TC-PRIV-005</t>
        </is>
      </c>
      <c r="B152" s="2" t="inlineStr"/>
      <c r="C152" s="2" t="inlineStr"/>
      <c r="D152" s="2" t="inlineStr"/>
      <c r="E152" s="2" t="inlineStr"/>
      <c r="F152" s="2" t="inlineStr"/>
      <c r="G152" s="2" t="inlineStr">
        <is>
          <t>NOT_RUN</t>
        </is>
      </c>
      <c r="H152" s="2" t="inlineStr"/>
      <c r="I152" s="2" t="inlineStr"/>
      <c r="J152" s="2" t="inlineStr"/>
      <c r="K152" s="2" t="inlineStr"/>
      <c r="L152" s="2" t="inlineStr"/>
    </row>
    <row r="153" ht="36" customHeight="1">
      <c r="A153" s="2" t="inlineStr">
        <is>
          <t>TC-COMP-001</t>
        </is>
      </c>
      <c r="B153" s="2" t="inlineStr"/>
      <c r="C153" s="2" t="inlineStr"/>
      <c r="D153" s="2" t="inlineStr"/>
      <c r="E153" s="2" t="inlineStr"/>
      <c r="F153" s="2" t="inlineStr"/>
      <c r="G153" s="2" t="inlineStr">
        <is>
          <t>NOT_RUN</t>
        </is>
      </c>
      <c r="H153" s="2" t="inlineStr"/>
      <c r="I153" s="2" t="inlineStr"/>
      <c r="J153" s="2" t="inlineStr"/>
      <c r="K153" s="2" t="inlineStr"/>
      <c r="L153" s="2" t="inlineStr"/>
    </row>
    <row r="154" ht="36" customHeight="1">
      <c r="A154" s="2" t="inlineStr">
        <is>
          <t>TC-COMP-002</t>
        </is>
      </c>
      <c r="B154" s="2" t="inlineStr"/>
      <c r="C154" s="2" t="inlineStr"/>
      <c r="D154" s="2" t="inlineStr"/>
      <c r="E154" s="2" t="inlineStr"/>
      <c r="F154" s="2" t="inlineStr"/>
      <c r="G154" s="2" t="inlineStr">
        <is>
          <t>NOT_RUN</t>
        </is>
      </c>
      <c r="H154" s="2" t="inlineStr"/>
      <c r="I154" s="2" t="inlineStr"/>
      <c r="J154" s="2" t="inlineStr"/>
      <c r="K154" s="2" t="inlineStr"/>
      <c r="L154" s="2" t="inlineStr"/>
    </row>
    <row r="155" ht="36" customHeight="1">
      <c r="A155" s="2" t="inlineStr">
        <is>
          <t>TC-COMP-003</t>
        </is>
      </c>
      <c r="B155" s="2" t="inlineStr"/>
      <c r="C155" s="2" t="inlineStr"/>
      <c r="D155" s="2" t="inlineStr"/>
      <c r="E155" s="2" t="inlineStr"/>
      <c r="F155" s="2" t="inlineStr"/>
      <c r="G155" s="2" t="inlineStr">
        <is>
          <t>NOT_RUN</t>
        </is>
      </c>
      <c r="H155" s="2" t="inlineStr"/>
      <c r="I155" s="2" t="inlineStr"/>
      <c r="J155" s="2" t="inlineStr"/>
      <c r="K155" s="2" t="inlineStr"/>
      <c r="L155" s="2" t="inlineStr"/>
    </row>
    <row r="156" ht="36" customHeight="1">
      <c r="A156" s="2" t="inlineStr">
        <is>
          <t>TC-COMP-004</t>
        </is>
      </c>
      <c r="B156" s="2" t="inlineStr"/>
      <c r="C156" s="2" t="inlineStr"/>
      <c r="D156" s="2" t="inlineStr"/>
      <c r="E156" s="2" t="inlineStr"/>
      <c r="F156" s="2" t="inlineStr"/>
      <c r="G156" s="2" t="inlineStr">
        <is>
          <t>NOT_RUN</t>
        </is>
      </c>
      <c r="H156" s="2" t="inlineStr"/>
      <c r="I156" s="2" t="inlineStr"/>
      <c r="J156" s="2" t="inlineStr"/>
      <c r="K156" s="2" t="inlineStr"/>
      <c r="L156" s="2" t="inlineStr"/>
    </row>
    <row r="157" ht="36" customHeight="1">
      <c r="A157" s="2" t="inlineStr">
        <is>
          <t>TC-CI-001</t>
        </is>
      </c>
      <c r="B157" s="2" t="inlineStr"/>
      <c r="C157" s="2" t="inlineStr"/>
      <c r="D157" s="2" t="inlineStr"/>
      <c r="E157" s="2" t="inlineStr"/>
      <c r="F157" s="2" t="inlineStr"/>
      <c r="G157" s="2" t="inlineStr">
        <is>
          <t>NOT_RUN</t>
        </is>
      </c>
      <c r="H157" s="2" t="inlineStr"/>
      <c r="I157" s="2" t="inlineStr"/>
      <c r="J157" s="2" t="inlineStr"/>
      <c r="K157" s="2" t="inlineStr"/>
      <c r="L157" s="2" t="inlineStr"/>
    </row>
    <row r="158" ht="36" customHeight="1">
      <c r="A158" s="2" t="inlineStr">
        <is>
          <t>TC-CI-002</t>
        </is>
      </c>
      <c r="B158" s="2" t="inlineStr"/>
      <c r="C158" s="2" t="inlineStr"/>
      <c r="D158" s="2" t="inlineStr"/>
      <c r="E158" s="2" t="inlineStr"/>
      <c r="F158" s="2" t="inlineStr"/>
      <c r="G158" s="2" t="inlineStr">
        <is>
          <t>NOT_RUN</t>
        </is>
      </c>
      <c r="H158" s="2" t="inlineStr"/>
      <c r="I158" s="2" t="inlineStr"/>
      <c r="J158" s="2" t="inlineStr"/>
      <c r="K158" s="2" t="inlineStr"/>
      <c r="L158" s="2" t="inlineStr"/>
    </row>
    <row r="159" ht="36" customHeight="1">
      <c r="A159" s="2" t="inlineStr">
        <is>
          <t>TC-CI-003</t>
        </is>
      </c>
      <c r="B159" s="2" t="inlineStr">
        <is>
          <t>RC-AUTO-2026-10-07</t>
        </is>
      </c>
      <c r="C159" s="2" t="inlineStr">
        <is>
          <t>V0.2.0候选（分阶段构建，见证据时间）</t>
        </is>
      </c>
      <c r="D159" s="2" t="inlineStr">
        <is>
          <t>Win/Java21/MySQL8.4/Chrome</t>
        </is>
      </c>
      <c r="E159" s="2" t="inlineStr">
        <is>
          <t>registration_test；browser基线使用demo</t>
        </is>
      </c>
      <c r="F159" s="2" t="inlineStr">
        <is>
          <t>Codex自动执行</t>
        </is>
      </c>
      <c r="G159" s="2" t="inlineStr">
        <is>
          <t>PARTIAL</t>
        </is>
      </c>
      <c r="H159" s="2" t="inlineStr">
        <is>
          <t>已执行关联场景；未覆盖所有必测variant</t>
        </is>
      </c>
      <c r="I159" s="2" t="inlineStr"/>
      <c r="J159" s="2" t="inlineStr">
        <is>
          <t>验收证据/rehearsal.json</t>
        </is>
      </c>
      <c r="K159" s="2" t="inlineStr">
        <is>
          <t>2026-10-06T16:57:49.954Z</t>
        </is>
      </c>
      <c r="L159" s="2" t="inlineStr">
        <is>
          <t>全变体通过且成员复核后才能标整条PASS；自动执行不代替人工签名</t>
        </is>
      </c>
    </row>
  </sheetData>
  <autoFilter ref="A1:L159"/>
  <conditionalFormatting sqref="G2:G15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"NOT_RUN"</formula>
    </cfRule>
  </conditionalFormatting>
  <dataValidations count="1">
    <dataValidation sqref="G2:G159" showDropDown="0" showInputMessage="0" showErrorMessage="0" allowBlank="0" type="list">
      <formula1>"NOT_RUN,PARTIAL,PASS,FAIL,BLOCKED"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  <col width="22" customWidth="1" min="9" max="9"/>
    <col width="50" customWidth="1" min="10" max="10"/>
    <col width="22" customWidth="1" min="11" max="11"/>
    <col width="40" customWidth="1" min="12" max="12"/>
  </cols>
  <sheetData>
    <row r="1" ht="30" customHeight="1">
      <c r="A1" s="1" t="inlineStr">
        <is>
          <t>用例编号</t>
        </is>
      </c>
      <c r="B1" s="1" t="inlineStr">
        <is>
          <t>runId</t>
        </is>
      </c>
      <c r="C1" s="1" t="inlineStr">
        <is>
          <t>构建版本</t>
        </is>
      </c>
      <c r="D1" s="1" t="inlineStr">
        <is>
          <t>环境编号</t>
        </is>
      </c>
      <c r="E1" s="1" t="inlineStr">
        <is>
          <t>数据快照</t>
        </is>
      </c>
      <c r="F1" s="1" t="inlineStr">
        <is>
          <t>执行人</t>
        </is>
      </c>
      <c r="G1" s="1" t="inlineStr">
        <is>
          <t>当前状态</t>
        </is>
      </c>
      <c r="H1" s="1" t="inlineStr">
        <is>
          <t>实际结果</t>
        </is>
      </c>
      <c r="I1" s="1" t="inlineStr">
        <is>
          <t>缺陷编号</t>
        </is>
      </c>
      <c r="J1" s="1" t="inlineStr">
        <is>
          <t>证据路径</t>
        </is>
      </c>
      <c r="K1" s="1" t="inlineStr">
        <is>
          <t>执行时间</t>
        </is>
      </c>
      <c r="L1" s="1" t="inlineStr">
        <is>
          <t>备注</t>
        </is>
      </c>
    </row>
  </sheetData>
  <autoFilter ref="A1:L1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7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  <col width="40" customWidth="1" min="3" max="3"/>
    <col width="38" customWidth="1" min="4" max="4"/>
    <col width="40" customWidth="1" min="5" max="5"/>
  </cols>
  <sheetData>
    <row r="1" ht="30" customHeight="1">
      <c r="A1" s="1" t="inlineStr">
        <is>
          <t>需求或验收编号</t>
        </is>
      </c>
      <c r="B1" s="1" t="inlineStr">
        <is>
          <t>关联用例</t>
        </is>
      </c>
      <c r="C1" s="1" t="inlineStr">
        <is>
          <t>决策基线</t>
        </is>
      </c>
      <c r="D1" s="1" t="inlineStr">
        <is>
          <t>计划覆盖状态</t>
        </is>
      </c>
      <c r="E1" s="1" t="inlineStr">
        <is>
          <t>实际覆盖或缺口</t>
        </is>
      </c>
    </row>
    <row r="2" ht="36" customHeight="1">
      <c r="A2" s="2" t="inlineStr">
        <is>
          <t>FR-01</t>
        </is>
      </c>
      <c r="B2" s="2" t="inlineStr">
        <is>
          <t>TC-AUTH-001, TC-AUTH-002, TC-AUTH-007, TC-AUTH-008</t>
        </is>
      </c>
      <c r="C2" s="2" t="inlineStr">
        <is>
          <t>需求与设计V2.0</t>
        </is>
      </c>
      <c r="D2" s="2" t="inlineStr">
        <is>
          <t>已建立计划关联；实际执行见执行记录</t>
        </is>
      </c>
      <c r="E2" s="2" t="inlineStr"/>
    </row>
    <row r="3" ht="36" customHeight="1">
      <c r="A3" s="2" t="inlineStr">
        <is>
          <t>FR-02</t>
        </is>
      </c>
      <c r="B3" s="2" t="inlineStr">
        <is>
          <t>TC-AUTH-001, TC-AUTH-008, TC-SEC-001, TC-UI-001</t>
        </is>
      </c>
      <c r="C3" s="2" t="inlineStr">
        <is>
          <t>需求与设计V2.0</t>
        </is>
      </c>
      <c r="D3" s="2" t="inlineStr">
        <is>
          <t>已建立计划关联；实际执行见执行记录</t>
        </is>
      </c>
      <c r="E3" s="2" t="inlineStr"/>
    </row>
    <row r="4" ht="36" customHeight="1">
      <c r="A4" s="2" t="inlineStr">
        <is>
          <t>FR-03</t>
        </is>
      </c>
      <c r="B4" s="2" t="inlineStr">
        <is>
          <t>TC-AUTH-003, TC-SEC-008</t>
        </is>
      </c>
      <c r="C4" s="2" t="inlineStr">
        <is>
          <t>需求与设计V2.0</t>
        </is>
      </c>
      <c r="D4" s="2" t="inlineStr">
        <is>
          <t>已建立计划关联；实际执行见执行记录</t>
        </is>
      </c>
      <c r="E4" s="2" t="inlineStr"/>
    </row>
    <row r="5" ht="36" customHeight="1">
      <c r="A5" s="2" t="inlineStr">
        <is>
          <t>FR-04</t>
        </is>
      </c>
      <c r="B5" s="2" t="inlineStr">
        <is>
          <t>TC-CAT-001, TC-CAT-002, TC-API-003</t>
        </is>
      </c>
      <c r="C5" s="2" t="inlineStr">
        <is>
          <t>需求与设计V2.0</t>
        </is>
      </c>
      <c r="D5" s="2" t="inlineStr">
        <is>
          <t>已建立计划关联；实际执行见执行记录</t>
        </is>
      </c>
      <c r="E5" s="2" t="inlineStr"/>
    </row>
    <row r="6" ht="36" customHeight="1">
      <c r="A6" s="2" t="inlineStr">
        <is>
          <t>FR-05</t>
        </is>
      </c>
      <c r="B6" s="2" t="inlineStr">
        <is>
          <t>TC-REG-001, TC-REG-002, TC-REG-004</t>
        </is>
      </c>
      <c r="C6" s="2" t="inlineStr">
        <is>
          <t>需求与设计V2.0</t>
        </is>
      </c>
      <c r="D6" s="2" t="inlineStr">
        <is>
          <t>已建立计划关联；实际执行见执行记录</t>
        </is>
      </c>
      <c r="E6" s="2" t="inlineStr"/>
    </row>
    <row r="7" ht="36" customHeight="1">
      <c r="A7" s="2" t="inlineStr">
        <is>
          <t>FR-06</t>
        </is>
      </c>
      <c r="B7" s="2" t="inlineStr">
        <is>
          <t>TC-REG-001, TC-REG-002, TC-REG-013, TC-UI-002</t>
        </is>
      </c>
      <c r="C7" s="2" t="inlineStr">
        <is>
          <t>需求与设计V2.0</t>
        </is>
      </c>
      <c r="D7" s="2" t="inlineStr">
        <is>
          <t>已建立计划关联；实际执行见执行记录</t>
        </is>
      </c>
      <c r="E7" s="2" t="inlineStr"/>
    </row>
    <row r="8" ht="36" customHeight="1">
      <c r="A8" s="2" t="inlineStr">
        <is>
          <t>FR-07</t>
        </is>
      </c>
      <c r="B8" s="2" t="inlineStr">
        <is>
          <t>TC-REG-003, TC-REG-005, TC-REG-006, TC-REG-007, TC-REG-008, TC-REG-009, TC-REG-010, TC-REG-015, TC-REG-016, TC-CON-001, TC-DB-007, TC-DB-008</t>
        </is>
      </c>
      <c r="C8" s="2" t="inlineStr">
        <is>
          <t>需求与设计V2.0</t>
        </is>
      </c>
      <c r="D8" s="2" t="inlineStr">
        <is>
          <t>已建立计划关联；实际执行见执行记录</t>
        </is>
      </c>
      <c r="E8" s="2" t="inlineStr"/>
    </row>
    <row r="9" ht="36" customHeight="1">
      <c r="A9" s="2" t="inlineStr">
        <is>
          <t>FR-08</t>
        </is>
      </c>
      <c r="B9" s="2" t="inlineStr">
        <is>
          <t>TC-REG-011, TC-REG-014, TC-REG-015, TC-CON-002, TC-CON-003, TC-DB-007</t>
        </is>
      </c>
      <c r="C9" s="2" t="inlineStr">
        <is>
          <t>需求与设计V2.0</t>
        </is>
      </c>
      <c r="D9" s="2" t="inlineStr">
        <is>
          <t>已建立计划关联；实际执行见执行记录</t>
        </is>
      </c>
      <c r="E9" s="2" t="inlineStr"/>
    </row>
    <row r="10" ht="36" customHeight="1">
      <c r="A10" s="2" t="inlineStr">
        <is>
          <t>FR-09</t>
        </is>
      </c>
      <c r="B10" s="2" t="inlineStr">
        <is>
          <t>TC-REG-012, TC-UI-004</t>
        </is>
      </c>
      <c r="C10" s="2" t="inlineStr">
        <is>
          <t>需求与设计V2.0</t>
        </is>
      </c>
      <c r="D10" s="2" t="inlineStr">
        <is>
          <t>已建立计划关联；实际执行见执行记录</t>
        </is>
      </c>
      <c r="E10" s="2" t="inlineStr"/>
    </row>
    <row r="11" ht="36" customHeight="1">
      <c r="A11" s="2" t="inlineStr">
        <is>
          <t>FR-10</t>
        </is>
      </c>
      <c r="B11" s="2" t="inlineStr">
        <is>
          <t>TC-REG-001, TC-REG-003, TC-REG-011, TC-REG-012, TC-REG-013, TC-UI-002</t>
        </is>
      </c>
      <c r="C11" s="2" t="inlineStr">
        <is>
          <t>需求与设计V2.0</t>
        </is>
      </c>
      <c r="D11" s="2" t="inlineStr">
        <is>
          <t>已建立计划关联；实际执行见执行记录</t>
        </is>
      </c>
      <c r="E11" s="2" t="inlineStr"/>
    </row>
    <row r="12" ht="36" customHeight="1">
      <c r="A12" s="2" t="inlineStr">
        <is>
          <t>FR-11</t>
        </is>
      </c>
      <c r="B12" s="2" t="inlineStr">
        <is>
          <t>TC-TEA-001, TC-TEA-002</t>
        </is>
      </c>
      <c r="C12" s="2" t="inlineStr">
        <is>
          <t>需求与设计V2.0</t>
        </is>
      </c>
      <c r="D12" s="2" t="inlineStr">
        <is>
          <t>已建立计划关联；实际执行见执行记录</t>
        </is>
      </c>
      <c r="E12" s="2" t="inlineStr"/>
    </row>
    <row r="13" ht="36" customHeight="1">
      <c r="A13" s="2" t="inlineStr">
        <is>
          <t>FR-12</t>
        </is>
      </c>
      <c r="B13" s="2" t="inlineStr">
        <is>
          <t>TC-TEA-001, TC-TEA-002, TC-TEA-003, TC-TEA-004, TC-TEA-005, TC-TEA-006, TC-CON-004, TC-CON-005</t>
        </is>
      </c>
      <c r="C13" s="2" t="inlineStr">
        <is>
          <t>需求与设计V2.0</t>
        </is>
      </c>
      <c r="D13" s="2" t="inlineStr">
        <is>
          <t>已建立计划关联；实际执行见执行记录</t>
        </is>
      </c>
      <c r="E13" s="2" t="inlineStr"/>
    </row>
    <row r="14" ht="36" customHeight="1">
      <c r="A14" s="2" t="inlineStr">
        <is>
          <t>FR-13</t>
        </is>
      </c>
      <c r="B14" s="2" t="inlineStr">
        <is>
          <t>TC-GRADE-001, TC-GRADE-008</t>
        </is>
      </c>
      <c r="C14" s="2" t="inlineStr">
        <is>
          <t>需求与设计V2.0</t>
        </is>
      </c>
      <c r="D14" s="2" t="inlineStr">
        <is>
          <t>已建立计划关联；实际执行见执行记录</t>
        </is>
      </c>
      <c r="E14" s="2" t="inlineStr"/>
    </row>
    <row r="15" ht="36" customHeight="1">
      <c r="A15" s="2" t="inlineStr">
        <is>
          <t>FR-14</t>
        </is>
      </c>
      <c r="B15" s="2" t="inlineStr">
        <is>
          <t>TC-GRADE-001, TC-GRADE-002, TC-GRADE-003, TC-GRADE-004, TC-GRADE-005, TC-GRADE-007, TC-GRADE-008, TC-UI-007, TC-API-004, TC-DB-009</t>
        </is>
      </c>
      <c r="C15" s="2" t="inlineStr">
        <is>
          <t>需求与设计V2.0</t>
        </is>
      </c>
      <c r="D15" s="2" t="inlineStr">
        <is>
          <t>已建立计划关联；实际执行见执行记录</t>
        </is>
      </c>
      <c r="E15" s="2" t="inlineStr"/>
    </row>
    <row r="16" ht="36" customHeight="1">
      <c r="A16" s="2" t="inlineStr">
        <is>
          <t>FR-15</t>
        </is>
      </c>
      <c r="B16" s="2" t="inlineStr">
        <is>
          <t>TC-GRADE-006, TC-GRADE-008, TC-PRIV-001</t>
        </is>
      </c>
      <c r="C16" s="2" t="inlineStr">
        <is>
          <t>需求与设计V2.0</t>
        </is>
      </c>
      <c r="D16" s="2" t="inlineStr">
        <is>
          <t>已建立计划关联；实际执行见执行记录</t>
        </is>
      </c>
      <c r="E16" s="2" t="inlineStr"/>
    </row>
    <row r="17" ht="36" customHeight="1">
      <c r="A17" s="2" t="inlineStr">
        <is>
          <t>FR-16</t>
        </is>
      </c>
      <c r="B17" s="2" t="inlineStr">
        <is>
          <t>TC-PEOPLE-001, TC-PEOPLE-002, TC-PEOPLE-007, TC-PEOPLE-008, TC-PEOPLE-009, TC-PEOPLE-010, TC-PEOPLE-011</t>
        </is>
      </c>
      <c r="C17" s="2" t="inlineStr">
        <is>
          <t>需求与设计V2.0</t>
        </is>
      </c>
      <c r="D17" s="2" t="inlineStr">
        <is>
          <t>已建立计划关联；实际执行见执行记录</t>
        </is>
      </c>
      <c r="E17" s="2" t="inlineStr"/>
    </row>
    <row r="18" ht="36" customHeight="1">
      <c r="A18" s="2" t="inlineStr">
        <is>
          <t>FR-17</t>
        </is>
      </c>
      <c r="B18" s="2" t="inlineStr">
        <is>
          <t>TC-PEOPLE-003, TC-PEOPLE-004, TC-PEOPLE-006, TC-PEOPLE-012</t>
        </is>
      </c>
      <c r="C18" s="2" t="inlineStr">
        <is>
          <t>需求与设计V2.0</t>
        </is>
      </c>
      <c r="D18" s="2" t="inlineStr">
        <is>
          <t>已建立计划关联；实际执行见执行记录</t>
        </is>
      </c>
      <c r="E18" s="2" t="inlineStr"/>
    </row>
    <row r="19" ht="36" customHeight="1">
      <c r="A19" s="2" t="inlineStr">
        <is>
          <t>FR-18</t>
        </is>
      </c>
      <c r="B19" s="2" t="inlineStr">
        <is>
          <t>TC-PEOPLE-001, TC-PEOPLE-002, TC-PEOPLE-007, TC-PEOPLE-008, TC-PEOPLE-009, TC-PEOPLE-010, TC-PEOPLE-011</t>
        </is>
      </c>
      <c r="C19" s="2" t="inlineStr">
        <is>
          <t>需求与设计V2.0</t>
        </is>
      </c>
      <c r="D19" s="2" t="inlineStr">
        <is>
          <t>已建立计划关联；实际执行见执行记录</t>
        </is>
      </c>
      <c r="E19" s="2" t="inlineStr"/>
    </row>
    <row r="20" ht="36" customHeight="1">
      <c r="A20" s="2" t="inlineStr">
        <is>
          <t>FR-19</t>
        </is>
      </c>
      <c r="B20" s="2" t="inlineStr">
        <is>
          <t>TC-PEOPLE-003, TC-PEOPLE-004, TC-PEOPLE-006, TC-PEOPLE-012</t>
        </is>
      </c>
      <c r="C20" s="2" t="inlineStr">
        <is>
          <t>需求与设计V2.0</t>
        </is>
      </c>
      <c r="D20" s="2" t="inlineStr">
        <is>
          <t>已建立计划关联；实际执行见执行记录</t>
        </is>
      </c>
      <c r="E20" s="2" t="inlineStr"/>
    </row>
    <row r="21" ht="36" customHeight="1">
      <c r="A21" s="2" t="inlineStr">
        <is>
          <t>FR-20</t>
        </is>
      </c>
      <c r="B21" s="2" t="inlineStr">
        <is>
          <t>TC-CLOSE-001, TC-CLOSE-002, TC-CLOSE-003, TC-CLOSE-004, TC-CLOSE-005, TC-CLOSE-006, TC-CLOSE-007, TC-CLOSE-008, TC-CLOSE-009, TC-CLOSE-010, TC-CLOSE-011, TC-CLOSE-012, TC-CON-006, TC-CON-007, TC-CON-009, TC-UI-009, TC-OPS-006, TC-PERF-008</t>
        </is>
      </c>
      <c r="C21" s="2" t="inlineStr">
        <is>
          <t>需求与设计V2.0</t>
        </is>
      </c>
      <c r="D21" s="2" t="inlineStr">
        <is>
          <t>已建立计划关联；实际执行见执行记录</t>
        </is>
      </c>
      <c r="E21" s="2" t="inlineStr"/>
    </row>
    <row r="22" ht="36" customHeight="1">
      <c r="A22" s="2" t="inlineStr">
        <is>
          <t>FR-21</t>
        </is>
      </c>
      <c r="B22" s="2" t="inlineStr">
        <is>
          <t>TC-CAT-003, TC-CAT-004, TC-CAT-005, TC-DB-006</t>
        </is>
      </c>
      <c r="C22" s="2" t="inlineStr">
        <is>
          <t>需求与设计V2.0</t>
        </is>
      </c>
      <c r="D22" s="2" t="inlineStr">
        <is>
          <t>已建立计划关联；实际执行见执行记录</t>
        </is>
      </c>
      <c r="E22" s="2" t="inlineStr"/>
    </row>
    <row r="23" ht="36" customHeight="1">
      <c r="A23" s="2" t="inlineStr">
        <is>
          <t>FR-22</t>
        </is>
      </c>
      <c r="B23" s="2" t="inlineStr">
        <is>
          <t>TC-BILL-001, TC-BILL-002, TC-BILL-003, TC-BILL-004, TC-BILL-005, TC-BILL-006, TC-BILL-007, TC-BILL-008, TC-BILL-009, TC-BILL-010, TC-BILL-011, TC-BILL-012, TC-PERF-009</t>
        </is>
      </c>
      <c r="C23" s="2" t="inlineStr">
        <is>
          <t>需求与设计V2.0</t>
        </is>
      </c>
      <c r="D23" s="2" t="inlineStr">
        <is>
          <t>已建立计划关联；实际执行见执行记录</t>
        </is>
      </c>
      <c r="E23" s="2" t="inlineStr"/>
    </row>
    <row r="24" ht="36" customHeight="1">
      <c r="A24" s="2" t="inlineStr">
        <is>
          <t>FR-23</t>
        </is>
      </c>
      <c r="B24" s="2" t="inlineStr">
        <is>
          <t>TC-CLOSE-001, TC-CLOSE-009, TC-BILL-001, TC-BILL-004, TC-BILL-009, TC-UI-005, TC-UI-009, TC-API-005</t>
        </is>
      </c>
      <c r="C24" s="2" t="inlineStr">
        <is>
          <t>需求与设计V2.0</t>
        </is>
      </c>
      <c r="D24" s="2" t="inlineStr">
        <is>
          <t>已建立计划关联；实际执行见执行记录</t>
        </is>
      </c>
      <c r="E24" s="2" t="inlineStr"/>
    </row>
    <row r="25" ht="36" customHeight="1">
      <c r="A25" s="2" t="inlineStr">
        <is>
          <t>FR-24</t>
        </is>
      </c>
      <c r="B25" s="2" t="inlineStr">
        <is>
          <t>TC-CAT-002, TC-PEOPLE-008, TC-UI-006, TC-UI-008, TC-API-003</t>
        </is>
      </c>
      <c r="C25" s="2" t="inlineStr">
        <is>
          <t>需求与设计V2.0</t>
        </is>
      </c>
      <c r="D25" s="2" t="inlineStr">
        <is>
          <t>已建立计划关联；实际执行见执行记录</t>
        </is>
      </c>
      <c r="E25" s="2" t="inlineStr"/>
    </row>
    <row r="26" ht="36" customHeight="1">
      <c r="A26" s="2" t="inlineStr">
        <is>
          <t>FR-25</t>
        </is>
      </c>
      <c r="B26" s="2" t="inlineStr">
        <is>
          <t>TC-CAT-006, TC-REG-010, TC-UI-003</t>
        </is>
      </c>
      <c r="C26" s="2" t="inlineStr">
        <is>
          <t>需求与设计V2.0</t>
        </is>
      </c>
      <c r="D26" s="2" t="inlineStr">
        <is>
          <t>已建立计划关联；实际执行见执行记录</t>
        </is>
      </c>
      <c r="E26" s="2" t="inlineStr"/>
    </row>
    <row r="27" ht="36" customHeight="1">
      <c r="A27" s="2" t="inlineStr">
        <is>
          <t>BR-01</t>
        </is>
      </c>
      <c r="B27" s="2" t="inlineStr">
        <is>
          <t>TC-REG-002, TC-REG-003, TC-REG-004, TC-REG-011, TC-CLOSE-006</t>
        </is>
      </c>
      <c r="C27" s="2" t="inlineStr">
        <is>
          <t>需求与设计V2.0</t>
        </is>
      </c>
      <c r="D27" s="2" t="inlineStr">
        <is>
          <t>已建立计划关联；实际执行见执行记录</t>
        </is>
      </c>
      <c r="E27" s="2" t="inlineStr"/>
    </row>
    <row r="28" ht="36" customHeight="1">
      <c r="A28" s="2" t="inlineStr">
        <is>
          <t>BR-02</t>
        </is>
      </c>
      <c r="B28" s="2" t="inlineStr">
        <is>
          <t>TC-REG-010, TC-CLOSE-003, TC-CLOSE-012, TC-CON-001, TC-DB-002</t>
        </is>
      </c>
      <c r="C28" s="2" t="inlineStr">
        <is>
          <t>需求与设计V2.0</t>
        </is>
      </c>
      <c r="D28" s="2" t="inlineStr">
        <is>
          <t>已建立计划关联；实际执行见执行记录</t>
        </is>
      </c>
      <c r="E28" s="2" t="inlineStr"/>
    </row>
    <row r="29" ht="36" customHeight="1">
      <c r="A29" s="2" t="inlineStr">
        <is>
          <t>BR-03</t>
        </is>
      </c>
      <c r="B29" s="2" t="inlineStr">
        <is>
          <t>TC-REG-006, TC-REG-007, TC-CLOSE-005</t>
        </is>
      </c>
      <c r="C29" s="2" t="inlineStr">
        <is>
          <t>需求与设计V2.0</t>
        </is>
      </c>
      <c r="D29" s="2" t="inlineStr">
        <is>
          <t>已建立计划关联；实际执行见执行记录</t>
        </is>
      </c>
      <c r="E29" s="2" t="inlineStr"/>
    </row>
    <row r="30" ht="36" customHeight="1">
      <c r="A30" s="2" t="inlineStr">
        <is>
          <t>BR-04</t>
        </is>
      </c>
      <c r="B30" s="2" t="inlineStr">
        <is>
          <t>TC-REG-008, TC-REG-009, TC-TEA-003, TC-CON-005</t>
        </is>
      </c>
      <c r="C30" s="2" t="inlineStr">
        <is>
          <t>需求与设计V2.0</t>
        </is>
      </c>
      <c r="D30" s="2" t="inlineStr">
        <is>
          <t>已建立计划关联；实际执行见执行记录</t>
        </is>
      </c>
      <c r="E30" s="2" t="inlineStr"/>
    </row>
    <row r="31" ht="36" customHeight="1">
      <c r="A31" s="2" t="inlineStr">
        <is>
          <t>BR-05</t>
        </is>
      </c>
      <c r="B31" s="2" t="inlineStr">
        <is>
          <t>TC-REG-014, TC-TEA-005, TC-CON-007</t>
        </is>
      </c>
      <c r="C31" s="2" t="inlineStr">
        <is>
          <t>需求与设计V2.0</t>
        </is>
      </c>
      <c r="D31" s="2" t="inlineStr">
        <is>
          <t>已建立计划关联；实际执行见执行记录</t>
        </is>
      </c>
      <c r="E31" s="2" t="inlineStr"/>
    </row>
    <row r="32" ht="36" customHeight="1">
      <c r="A32" s="2" t="inlineStr">
        <is>
          <t>BR-06</t>
        </is>
      </c>
      <c r="B32" s="2" t="inlineStr">
        <is>
          <t>TC-REG-001, TC-REG-013, TC-UI-002</t>
        </is>
      </c>
      <c r="C32" s="2" t="inlineStr">
        <is>
          <t>需求与设计V2.0</t>
        </is>
      </c>
      <c r="D32" s="2" t="inlineStr">
        <is>
          <t>已建立计划关联；实际执行见执行记录</t>
        </is>
      </c>
      <c r="E32" s="2" t="inlineStr"/>
    </row>
    <row r="33" ht="36" customHeight="1">
      <c r="A33" s="2" t="inlineStr">
        <is>
          <t>BR-07</t>
        </is>
      </c>
      <c r="B33" s="2" t="inlineStr">
        <is>
          <t>TC-CAT-006, TC-REG-010, TC-CON-001</t>
        </is>
      </c>
      <c r="C33" s="2" t="inlineStr">
        <is>
          <t>需求与设计V2.0</t>
        </is>
      </c>
      <c r="D33" s="2" t="inlineStr">
        <is>
          <t>已建立计划关联；实际执行见执行记录</t>
        </is>
      </c>
      <c r="E33" s="2" t="inlineStr"/>
    </row>
    <row r="34" ht="36" customHeight="1">
      <c r="A34" s="2" t="inlineStr">
        <is>
          <t>BR-08</t>
        </is>
      </c>
      <c r="B34" s="2" t="inlineStr">
        <is>
          <t>TC-CLOSE-002, TC-CLOSE-003, TC-CLOSE-012</t>
        </is>
      </c>
      <c r="C34" s="2" t="inlineStr">
        <is>
          <t>需求与设计V2.0</t>
        </is>
      </c>
      <c r="D34" s="2" t="inlineStr">
        <is>
          <t>已建立计划关联；实际执行见执行记录</t>
        </is>
      </c>
      <c r="E34" s="2" t="inlineStr"/>
    </row>
    <row r="35" ht="36" customHeight="1">
      <c r="A35" s="2" t="inlineStr">
        <is>
          <t>BR-09</t>
        </is>
      </c>
      <c r="B35" s="2" t="inlineStr">
        <is>
          <t>TC-CLOSE-005, TC-CLOSE-006, TC-CLOSE-007</t>
        </is>
      </c>
      <c r="C35" s="2" t="inlineStr">
        <is>
          <t>需求与设计V2.0</t>
        </is>
      </c>
      <c r="D35" s="2" t="inlineStr">
        <is>
          <t>已建立计划关联；实际执行见执行记录</t>
        </is>
      </c>
      <c r="E35" s="2" t="inlineStr"/>
    </row>
    <row r="36" ht="36" customHeight="1">
      <c r="A36" s="2" t="inlineStr">
        <is>
          <t>BR-10</t>
        </is>
      </c>
      <c r="B36" s="2" t="inlineStr">
        <is>
          <t>TC-GRADE-001, TC-GRADE-002, TC-GRADE-003, TC-GRADE-004, TC-API-004, TC-DB-009</t>
        </is>
      </c>
      <c r="C36" s="2" t="inlineStr">
        <is>
          <t>需求与设计V2.0</t>
        </is>
      </c>
      <c r="D36" s="2" t="inlineStr">
        <is>
          <t>已建立计划关联；实际执行见执行记录</t>
        </is>
      </c>
      <c r="E36" s="2" t="inlineStr"/>
    </row>
    <row r="37" ht="36" customHeight="1">
      <c r="A37" s="2" t="inlineStr">
        <is>
          <t>BR-11</t>
        </is>
      </c>
      <c r="B37" s="2" t="inlineStr">
        <is>
          <t>TC-CAT-003, TC-CAT-005, TC-TEA-001</t>
        </is>
      </c>
      <c r="C37" s="2" t="inlineStr">
        <is>
          <t>需求与设计V2.0</t>
        </is>
      </c>
      <c r="D37" s="2" t="inlineStr">
        <is>
          <t>已建立计划关联；实际执行见执行记录</t>
        </is>
      </c>
      <c r="E37" s="2" t="inlineStr"/>
    </row>
    <row r="38" ht="36" customHeight="1">
      <c r="A38" s="2" t="inlineStr">
        <is>
          <t>BR-12</t>
        </is>
      </c>
      <c r="B38" s="2" t="inlineStr">
        <is>
          <t>TC-REG-005, TC-REG-012, TC-REG-016, TC-DB-001</t>
        </is>
      </c>
      <c r="C38" s="2" t="inlineStr">
        <is>
          <t>需求与设计V2.0</t>
        </is>
      </c>
      <c r="D38" s="2" t="inlineStr">
        <is>
          <t>已建立计划关联；实际执行见执行记录</t>
        </is>
      </c>
      <c r="E38" s="2" t="inlineStr"/>
    </row>
    <row r="39" ht="36" customHeight="1">
      <c r="A39" s="2" t="inlineStr">
        <is>
          <t>BR-13</t>
        </is>
      </c>
      <c r="B39" s="2" t="inlineStr">
        <is>
          <t>TC-REG-001, TC-REG-003, TC-REG-005</t>
        </is>
      </c>
      <c r="C39" s="2" t="inlineStr">
        <is>
          <t>需求与设计V2.0</t>
        </is>
      </c>
      <c r="D39" s="2" t="inlineStr">
        <is>
          <t>已建立计划关联；实际执行见执行记录</t>
        </is>
      </c>
      <c r="E39" s="2" t="inlineStr"/>
    </row>
    <row r="40" ht="36" customHeight="1">
      <c r="A40" s="2" t="inlineStr">
        <is>
          <t>BR-14</t>
        </is>
      </c>
      <c r="B40" s="2" t="inlineStr">
        <is>
          <t>TC-REG-012, TC-REG-016, TC-CON-001, TC-CON-003, TC-DB-008</t>
        </is>
      </c>
      <c r="C40" s="2" t="inlineStr">
        <is>
          <t>需求与设计V2.0</t>
        </is>
      </c>
      <c r="D40" s="2" t="inlineStr">
        <is>
          <t>已建立计划关联；实际执行见执行记录</t>
        </is>
      </c>
      <c r="E40" s="2" t="inlineStr"/>
    </row>
    <row r="41" ht="36" customHeight="1">
      <c r="A41" s="2" t="inlineStr">
        <is>
          <t>BR-15</t>
        </is>
      </c>
      <c r="B41" s="2" t="inlineStr">
        <is>
          <t>TC-CLOSE-004, TC-CLOSE-005, TC-CLOSE-006, TC-CLOSE-012</t>
        </is>
      </c>
      <c r="C41" s="2" t="inlineStr">
        <is>
          <t>需求与设计V2.0</t>
        </is>
      </c>
      <c r="D41" s="2" t="inlineStr">
        <is>
          <t>已建立计划关联；实际执行见执行记录</t>
        </is>
      </c>
      <c r="E41" s="2" t="inlineStr"/>
    </row>
    <row r="42" ht="36" customHeight="1">
      <c r="A42" s="2" t="inlineStr">
        <is>
          <t>BR-16</t>
        </is>
      </c>
      <c r="B42" s="2" t="inlineStr">
        <is>
          <t>TC-CLOSE-009, TC-BILL-003, TC-BILL-007, TC-BILL-011, TC-CON-009, TC-DB-005</t>
        </is>
      </c>
      <c r="C42" s="2" t="inlineStr">
        <is>
          <t>需求与设计V2.0</t>
        </is>
      </c>
      <c r="D42" s="2" t="inlineStr">
        <is>
          <t>已建立计划关联；实际执行见执行记录</t>
        </is>
      </c>
      <c r="E42" s="2" t="inlineStr"/>
    </row>
    <row r="43" ht="36" customHeight="1">
      <c r="A43" s="2" t="inlineStr">
        <is>
          <t>SEC-01</t>
        </is>
      </c>
      <c r="B43" s="2" t="inlineStr">
        <is>
          <t>TC-GRADE-008, TC-SEC-001, TC-PRIV-001</t>
        </is>
      </c>
      <c r="C43" s="2" t="inlineStr">
        <is>
          <t>需求与设计V2.0</t>
        </is>
      </c>
      <c r="D43" s="2" t="inlineStr">
        <is>
          <t>已建立计划关联；实际执行见执行记录</t>
        </is>
      </c>
      <c r="E43" s="2" t="inlineStr"/>
    </row>
    <row r="44" ht="36" customHeight="1">
      <c r="A44" s="2" t="inlineStr">
        <is>
          <t>SEC-02</t>
        </is>
      </c>
      <c r="B44" s="2" t="inlineStr">
        <is>
          <t>TC-SEC-001, TC-SEC-002, TC-SEC-006, TC-PRIV-004</t>
        </is>
      </c>
      <c r="C44" s="2" t="inlineStr">
        <is>
          <t>需求与设计V2.0</t>
        </is>
      </c>
      <c r="D44" s="2" t="inlineStr">
        <is>
          <t>已建立计划关联；实际执行见执行记录</t>
        </is>
      </c>
      <c r="E44" s="2" t="inlineStr"/>
    </row>
    <row r="45" ht="36" customHeight="1">
      <c r="A45" s="2" t="inlineStr">
        <is>
          <t>SEC-03</t>
        </is>
      </c>
      <c r="B45" s="2" t="inlineStr">
        <is>
          <t>TC-AUTH-003, TC-AUTH-006, TC-AUTH-008, TC-PEOPLE-013, TC-SEC-008</t>
        </is>
      </c>
      <c r="C45" s="2" t="inlineStr">
        <is>
          <t>需求与设计V2.0</t>
        </is>
      </c>
      <c r="D45" s="2" t="inlineStr">
        <is>
          <t>已建立计划关联；实际执行见执行记录</t>
        </is>
      </c>
      <c r="E45" s="2" t="inlineStr"/>
    </row>
    <row r="46" ht="36" customHeight="1">
      <c r="A46" s="2" t="inlineStr">
        <is>
          <t>DATA-01</t>
        </is>
      </c>
      <c r="B46" s="2" t="inlineStr">
        <is>
          <t>TC-REG-016, TC-GRADE-005, TC-PEOPLE-001, TC-DB-001, TC-DB-004, TC-DB-005</t>
        </is>
      </c>
      <c r="C46" s="2" t="inlineStr">
        <is>
          <t>需求与设计V2.0</t>
        </is>
      </c>
      <c r="D46" s="2" t="inlineStr">
        <is>
          <t>已建立计划关联；实际执行见执行记录</t>
        </is>
      </c>
      <c r="E46" s="2" t="inlineStr"/>
    </row>
    <row r="47" ht="36" customHeight="1">
      <c r="A47" s="2" t="inlineStr">
        <is>
          <t>DATA-02</t>
        </is>
      </c>
      <c r="B47" s="2" t="inlineStr">
        <is>
          <t>TC-REG-001, TC-REG-013, TC-CLOSE-012, TC-DB-010</t>
        </is>
      </c>
      <c r="C47" s="2" t="inlineStr">
        <is>
          <t>需求与设计V2.0</t>
        </is>
      </c>
      <c r="D47" s="2" t="inlineStr">
        <is>
          <t>已建立计划关联；实际执行见执行记录</t>
        </is>
      </c>
      <c r="E47" s="2" t="inlineStr"/>
    </row>
    <row r="48" ht="36" customHeight="1">
      <c r="A48" s="2" t="inlineStr">
        <is>
          <t>DATA-03</t>
        </is>
      </c>
      <c r="B48" s="2" t="inlineStr">
        <is>
          <t>TC-PEOPLE-003, TC-PEOPLE-004, TC-PEOPLE-012, TC-BILL-012, TC-DB-004</t>
        </is>
      </c>
      <c r="C48" s="2" t="inlineStr">
        <is>
          <t>需求与设计V2.0</t>
        </is>
      </c>
      <c r="D48" s="2" t="inlineStr">
        <is>
          <t>已建立计划关联；实际执行见执行记录</t>
        </is>
      </c>
      <c r="E48" s="2" t="inlineStr"/>
    </row>
    <row r="49" ht="36" customHeight="1">
      <c r="A49" s="2" t="inlineStr">
        <is>
          <t>DATA-04</t>
        </is>
      </c>
      <c r="B49" s="2" t="inlineStr">
        <is>
          <t>TC-PEOPLE-010, TC-OPS-008, TC-PRIV-001, TC-PRIV-003</t>
        </is>
      </c>
      <c r="C49" s="2" t="inlineStr">
        <is>
          <t>需求与设计V2.0</t>
        </is>
      </c>
      <c r="D49" s="2" t="inlineStr">
        <is>
          <t>已建立计划关联；实际执行见执行记录</t>
        </is>
      </c>
      <c r="E49" s="2" t="inlineStr"/>
    </row>
    <row r="50" ht="36" customHeight="1">
      <c r="A50" s="2" t="inlineStr">
        <is>
          <t>DATA-05</t>
        </is>
      </c>
      <c r="B50" s="2" t="inlineStr">
        <is>
          <t>TC-GRADE-001, TC-GRADE-006, TC-GRADE-007, TC-OPS-001, TC-DB-006</t>
        </is>
      </c>
      <c r="C50" s="2" t="inlineStr">
        <is>
          <t>需求与设计V2.0</t>
        </is>
      </c>
      <c r="D50" s="2" t="inlineStr">
        <is>
          <t>已建立计划关联；实际执行见执行记录</t>
        </is>
      </c>
      <c r="E50" s="2" t="inlineStr"/>
    </row>
    <row r="51" ht="36" customHeight="1">
      <c r="A51" s="2" t="inlineStr">
        <is>
          <t>NFR-01</t>
        </is>
      </c>
      <c r="B51" s="2" t="inlineStr">
        <is>
          <t>TC-PERF-001, TC-PERF-002, TC-PERF-003, TC-PERF-004, TC-PERF-005, TC-PERF-006, TC-PERF-007, TC-PERF-008, TC-PERF-009</t>
        </is>
      </c>
      <c r="C51" s="2" t="inlineStr">
        <is>
          <t>需求与设计V2.0</t>
        </is>
      </c>
      <c r="D51" s="2" t="inlineStr">
        <is>
          <t>已建立计划关联；实际执行见执行记录</t>
        </is>
      </c>
      <c r="E51" s="2" t="inlineStr"/>
    </row>
    <row r="52" ht="36" customHeight="1">
      <c r="A52" s="2" t="inlineStr">
        <is>
          <t>NFR-02</t>
        </is>
      </c>
      <c r="B52" s="2" t="inlineStr">
        <is>
          <t>TC-PERF-001, TC-PERF-002, TC-PERF-003, TC-PERF-004, TC-PERF-005, TC-PERF-006, TC-PERF-007, TC-PERF-008, TC-PERF-009</t>
        </is>
      </c>
      <c r="C52" s="2" t="inlineStr">
        <is>
          <t>需求与设计V2.0</t>
        </is>
      </c>
      <c r="D52" s="2" t="inlineStr">
        <is>
          <t>已建立计划关联；实际执行见执行记录</t>
        </is>
      </c>
      <c r="E52" s="2" t="inlineStr"/>
    </row>
    <row r="53" ht="36" customHeight="1">
      <c r="A53" s="2" t="inlineStr">
        <is>
          <t>NFR-03</t>
        </is>
      </c>
      <c r="B53" s="2" t="inlineStr">
        <is>
          <t>TC-PERF-001, TC-PERF-002, TC-PERF-003, TC-PERF-004, TC-PERF-005, TC-PERF-006, TC-PERF-007, TC-PERF-008, TC-PERF-009</t>
        </is>
      </c>
      <c r="C53" s="2" t="inlineStr">
        <is>
          <t>需求与设计V2.0</t>
        </is>
      </c>
      <c r="D53" s="2" t="inlineStr">
        <is>
          <t>已建立计划关联；实际执行见执行记录</t>
        </is>
      </c>
      <c r="E53" s="2" t="inlineStr"/>
    </row>
    <row r="54" ht="36" customHeight="1">
      <c r="A54" s="2" t="inlineStr">
        <is>
          <t>NFR-04</t>
        </is>
      </c>
      <c r="B54" s="2" t="inlineStr">
        <is>
          <t>TC-PERF-001, TC-PERF-002, TC-PERF-003, TC-PERF-004, TC-PERF-005, TC-PERF-006, TC-PERF-007, TC-PERF-008, TC-PERF-009</t>
        </is>
      </c>
      <c r="C54" s="2" t="inlineStr">
        <is>
          <t>需求与设计V2.0</t>
        </is>
      </c>
      <c r="D54" s="2" t="inlineStr">
        <is>
          <t>已建立计划关联；实际执行见执行记录</t>
        </is>
      </c>
      <c r="E54" s="2" t="inlineStr"/>
    </row>
    <row r="55" ht="36" customHeight="1">
      <c r="A55" s="2" t="inlineStr">
        <is>
          <t>NFR-05</t>
        </is>
      </c>
      <c r="B55" s="2" t="inlineStr">
        <is>
          <t>TC-CON-001, TC-CON-002, TC-CON-003, TC-CON-004, TC-CON-005, TC-CON-006, TC-CON-007, TC-CON-008, TC-CON-009, TC-CON-010, TC-PERF-001, TC-PERF-002, TC-PERF-003, TC-PERF-004, TC-PERF-005, TC-PERF-006, TC-PERF-007, TC-PERF-008, TC-PERF-009</t>
        </is>
      </c>
      <c r="C55" s="2" t="inlineStr">
        <is>
          <t>需求与设计V2.0</t>
        </is>
      </c>
      <c r="D55" s="2" t="inlineStr">
        <is>
          <t>已建立计划关联；实际执行见执行记录</t>
        </is>
      </c>
      <c r="E55" s="2" t="inlineStr"/>
    </row>
    <row r="56" ht="36" customHeight="1">
      <c r="A56" s="2" t="inlineStr">
        <is>
          <t>NFR-06</t>
        </is>
      </c>
      <c r="B56" s="2" t="inlineStr">
        <is>
          <t>TC-AVAIL-001, TC-AVAIL-002</t>
        </is>
      </c>
      <c r="C56" s="2" t="inlineStr">
        <is>
          <t>需求与设计V2.0</t>
        </is>
      </c>
      <c r="D56" s="2" t="inlineStr">
        <is>
          <t>已建立计划关联；实际执行见执行记录</t>
        </is>
      </c>
      <c r="E56" s="2" t="inlineStr"/>
    </row>
    <row r="57" ht="36" customHeight="1">
      <c r="A57" s="2" t="inlineStr">
        <is>
          <t>NFR-07</t>
        </is>
      </c>
      <c r="B57" s="2" t="inlineStr">
        <is>
          <t>TC-CON-001, TC-CON-002, TC-CON-003, TC-CON-004, TC-CON-005, TC-CON-006, TC-CON-007, TC-CON-008, TC-CON-009, TC-CON-010, TC-OPS-001, TC-OPS-002, TC-OPS-003, TC-OPS-004, TC-OPS-005, TC-OPS-006, TC-OPS-007, TC-OPS-008, TC-OPS-009, TC-DB-001, TC-DB-002, TC-DB-003, TC-DB-004, TC-DB-005, TC-DB-006, TC-DB-007, TC-DB-008, TC-DB-009, TC-DB-010</t>
        </is>
      </c>
      <c r="C57" s="2" t="inlineStr">
        <is>
          <t>需求与设计V2.0</t>
        </is>
      </c>
      <c r="D57" s="2" t="inlineStr">
        <is>
          <t>已建立计划关联；实际执行见执行记录</t>
        </is>
      </c>
      <c r="E57" s="2" t="inlineStr"/>
    </row>
    <row r="58" ht="36" customHeight="1">
      <c r="A58" s="2" t="inlineStr">
        <is>
          <t>NFR-08</t>
        </is>
      </c>
      <c r="B58" s="2" t="inlineStr">
        <is>
          <t>TC-CON-001, TC-CON-002, TC-CON-003, TC-CON-004, TC-CON-005, TC-CON-006, TC-CON-007, TC-CON-008, TC-CON-009, TC-CON-010, TC-OPS-001, TC-OPS-002, TC-OPS-003, TC-OPS-004, TC-OPS-005, TC-OPS-006, TC-OPS-007, TC-OPS-008, TC-OPS-009</t>
        </is>
      </c>
      <c r="C58" s="2" t="inlineStr">
        <is>
          <t>需求与设计V2.0</t>
        </is>
      </c>
      <c r="D58" s="2" t="inlineStr">
        <is>
          <t>已建立计划关联；实际执行见执行记录</t>
        </is>
      </c>
      <c r="E58" s="2" t="inlineStr"/>
    </row>
    <row r="59" ht="36" customHeight="1">
      <c r="A59" s="2" t="inlineStr">
        <is>
          <t>NFR-09</t>
        </is>
      </c>
      <c r="B59" s="2" t="inlineStr">
        <is>
          <t>TC-SEC-001, TC-SEC-002, TC-SEC-003, TC-SEC-004, TC-SEC-005, TC-SEC-006, TC-SEC-007, TC-SEC-008, TC-API-001, TC-API-002, TC-API-003, TC-API-004, TC-API-005, TC-API-006, TC-API-007, TC-API-008, TC-PRIV-001, TC-PRIV-002, TC-PRIV-003, TC-PRIV-004, TC-PRIV-005, TC-CI-001, TC-CI-002, TC-CI-003</t>
        </is>
      </c>
      <c r="C59" s="2" t="inlineStr">
        <is>
          <t>需求与设计V2.0</t>
        </is>
      </c>
      <c r="D59" s="2" t="inlineStr">
        <is>
          <t>已建立计划关联；实际执行见执行记录</t>
        </is>
      </c>
      <c r="E59" s="2" t="inlineStr"/>
    </row>
    <row r="60" ht="36" customHeight="1">
      <c r="A60" s="2" t="inlineStr">
        <is>
          <t>NFR-10</t>
        </is>
      </c>
      <c r="B60" s="2" t="inlineStr">
        <is>
          <t>TC-SEC-001, TC-SEC-002, TC-SEC-003, TC-SEC-004, TC-SEC-005, TC-SEC-006, TC-SEC-007, TC-SEC-008, TC-OPS-001, TC-OPS-002, TC-OPS-003, TC-OPS-004, TC-OPS-005, TC-OPS-006, TC-OPS-007, TC-OPS-008, TC-OPS-009</t>
        </is>
      </c>
      <c r="C60" s="2" t="inlineStr">
        <is>
          <t>需求与设计V2.0</t>
        </is>
      </c>
      <c r="D60" s="2" t="inlineStr">
        <is>
          <t>已建立计划关联；实际执行见执行记录</t>
        </is>
      </c>
      <c r="E60" s="2" t="inlineStr"/>
    </row>
    <row r="61" ht="36" customHeight="1">
      <c r="A61" s="2" t="inlineStr">
        <is>
          <t>NFR-11</t>
        </is>
      </c>
      <c r="B61" s="2" t="inlineStr">
        <is>
          <t>TC-OPS-001, TC-OPS-002, TC-OPS-003, TC-OPS-004, TC-OPS-005, TC-OPS-006, TC-OPS-007, TC-OPS-008, TC-OPS-009, TC-API-001, TC-API-002, TC-API-003, TC-API-004, TC-API-005, TC-API-006, TC-API-007, TC-API-008, TC-CI-001, TC-CI-002, TC-CI-003</t>
        </is>
      </c>
      <c r="C61" s="2" t="inlineStr">
        <is>
          <t>需求与设计V2.0</t>
        </is>
      </c>
      <c r="D61" s="2" t="inlineStr">
        <is>
          <t>已建立计划关联；实际执行见执行记录</t>
        </is>
      </c>
      <c r="E61" s="2" t="inlineStr"/>
    </row>
    <row r="62" ht="36" customHeight="1">
      <c r="A62" s="2" t="inlineStr">
        <is>
          <t>NFR-12</t>
        </is>
      </c>
      <c r="B62" s="2" t="inlineStr">
        <is>
          <t>TC-UI-001, TC-UI-002, TC-UI-003, TC-UI-004, TC-UI-005, TC-UI-006, TC-UI-007, TC-UI-008, TC-UI-009, TC-COMP-001, TC-COMP-002, TC-COMP-003, TC-COMP-004</t>
        </is>
      </c>
      <c r="C62" s="2" t="inlineStr">
        <is>
          <t>需求与设计V2.0</t>
        </is>
      </c>
      <c r="D62" s="2" t="inlineStr">
        <is>
          <t>已建立计划关联；实际执行见执行记录</t>
        </is>
      </c>
      <c r="E62" s="2" t="inlineStr"/>
    </row>
    <row r="63" ht="36" customHeight="1">
      <c r="A63" s="2" t="inlineStr">
        <is>
          <t>AC-01</t>
        </is>
      </c>
      <c r="B63" s="2" t="inlineStr">
        <is>
          <t>TC-AUTH-001, TC-AUTH-002, TC-AUTH-003, TC-AUTH-007, TC-AUTH-008, TC-UI-001</t>
        </is>
      </c>
      <c r="C63" s="2" t="inlineStr">
        <is>
          <t>需求与设计V2.0</t>
        </is>
      </c>
      <c r="D63" s="2" t="inlineStr">
        <is>
          <t>已建立计划关联；实际执行见执行记录</t>
        </is>
      </c>
      <c r="E63" s="2" t="inlineStr"/>
    </row>
    <row r="64" ht="36" customHeight="1">
      <c r="A64" s="2" t="inlineStr">
        <is>
          <t>AC-02</t>
        </is>
      </c>
      <c r="B64" s="2" t="inlineStr">
        <is>
          <t>TC-AUTH-001, TC-AUTH-008, TC-SEC-001, TC-SEC-002, TC-SEC-003, TC-SEC-004, TC-SEC-005, TC-SEC-006, TC-SEC-007, TC-SEC-008, TC-UI-001, TC-PRIV-001, TC-PRIV-002, TC-PRIV-003, TC-PRIV-004, TC-PRIV-005</t>
        </is>
      </c>
      <c r="C64" s="2" t="inlineStr">
        <is>
          <t>需求与设计V2.0</t>
        </is>
      </c>
      <c r="D64" s="2" t="inlineStr">
        <is>
          <t>已建立计划关联；实际执行见执行记录</t>
        </is>
      </c>
      <c r="E64" s="2" t="inlineStr"/>
    </row>
    <row r="65" ht="36" customHeight="1">
      <c r="A65" s="2" t="inlineStr">
        <is>
          <t>AC-03</t>
        </is>
      </c>
      <c r="B65" s="2" t="inlineStr">
        <is>
          <t>TC-CAT-001, TC-CAT-002, TC-CAT-003, TC-CAT-004, TC-CAT-005, TC-API-003, TC-DB-006</t>
        </is>
      </c>
      <c r="C65" s="2" t="inlineStr">
        <is>
          <t>需求与设计V2.0</t>
        </is>
      </c>
      <c r="D65" s="2" t="inlineStr">
        <is>
          <t>已建立计划关联；实际执行见执行记录</t>
        </is>
      </c>
      <c r="E65" s="2" t="inlineStr"/>
    </row>
    <row r="66" ht="36" customHeight="1">
      <c r="A66" s="2" t="inlineStr">
        <is>
          <t>AC-04</t>
        </is>
      </c>
      <c r="B66" s="2" t="inlineStr">
        <is>
          <t>TC-REG-001, TC-REG-002, TC-REG-003, TC-REG-004, TC-REG-011, TC-REG-012, TC-REG-013, TC-UI-002</t>
        </is>
      </c>
      <c r="C66" s="2" t="inlineStr">
        <is>
          <t>需求与设计V2.0</t>
        </is>
      </c>
      <c r="D66" s="2" t="inlineStr">
        <is>
          <t>已建立计划关联；实际执行见执行记录</t>
        </is>
      </c>
      <c r="E66" s="2" t="inlineStr"/>
    </row>
    <row r="67" ht="36" customHeight="1">
      <c r="A67" s="2" t="inlineStr">
        <is>
          <t>AC-05</t>
        </is>
      </c>
      <c r="B67" s="2" t="inlineStr">
        <is>
          <t>TC-REG-003, TC-REG-005, TC-REG-006, TC-REG-007, TC-REG-008, TC-REG-009, TC-REG-010, TC-REG-015, TC-REG-016, TC-DB-007, TC-DB-008</t>
        </is>
      </c>
      <c r="C67" s="2" t="inlineStr">
        <is>
          <t>需求与设计V2.0</t>
        </is>
      </c>
      <c r="D67" s="2" t="inlineStr">
        <is>
          <t>已建立计划关联；实际执行见执行记录</t>
        </is>
      </c>
      <c r="E67" s="2" t="inlineStr"/>
    </row>
    <row r="68" ht="36" customHeight="1">
      <c r="A68" s="2" t="inlineStr">
        <is>
          <t>AC-06</t>
        </is>
      </c>
      <c r="B68" s="2" t="inlineStr">
        <is>
          <t>TC-CAT-006, TC-REG-003, TC-REG-005, TC-REG-006, TC-REG-007, TC-REG-008, TC-REG-009, TC-REG-010, TC-REG-015, TC-REG-016, TC-CON-001, TC-CON-002, TC-CON-003, TC-CON-004, TC-CON-005, TC-CON-006, TC-CON-007, TC-CON-008, TC-CON-009, TC-CON-010, TC-UI-003, TC-DB-007, TC-DB-008</t>
        </is>
      </c>
      <c r="C68" s="2" t="inlineStr">
        <is>
          <t>需求与设计V2.0</t>
        </is>
      </c>
      <c r="D68" s="2" t="inlineStr">
        <is>
          <t>已建立计划关联；实际执行见执行记录</t>
        </is>
      </c>
      <c r="E68" s="2" t="inlineStr"/>
    </row>
    <row r="69" ht="36" customHeight="1">
      <c r="A69" s="2" t="inlineStr">
        <is>
          <t>AC-07</t>
        </is>
      </c>
      <c r="B69" s="2" t="inlineStr">
        <is>
          <t>TC-REG-001, TC-REG-003, TC-REG-011, TC-REG-012, TC-REG-013, TC-REG-014, TC-REG-015, TC-UI-002, TC-UI-004, TC-DB-007</t>
        </is>
      </c>
      <c r="C69" s="2" t="inlineStr">
        <is>
          <t>需求与设计V2.0</t>
        </is>
      </c>
      <c r="D69" s="2" t="inlineStr">
        <is>
          <t>已建立计划关联；实际执行见执行记录</t>
        </is>
      </c>
      <c r="E69" s="2" t="inlineStr"/>
    </row>
    <row r="70" ht="36" customHeight="1">
      <c r="A70" s="2" t="inlineStr">
        <is>
          <t>AC-08</t>
        </is>
      </c>
      <c r="B70" s="2" t="inlineStr">
        <is>
          <t>TC-TEA-001, TC-TEA-002, TC-TEA-003, TC-TEA-004, TC-TEA-005, TC-TEA-006, TC-CON-001, TC-CON-002, TC-CON-003, TC-CON-004, TC-CON-005, TC-CON-006, TC-CON-007, TC-CON-008, TC-CON-009, TC-CON-010</t>
        </is>
      </c>
      <c r="C70" s="2" t="inlineStr">
        <is>
          <t>需求与设计V2.0</t>
        </is>
      </c>
      <c r="D70" s="2" t="inlineStr">
        <is>
          <t>已建立计划关联；实际执行见执行记录</t>
        </is>
      </c>
      <c r="E70" s="2" t="inlineStr"/>
    </row>
    <row r="71" ht="36" customHeight="1">
      <c r="A71" s="2" t="inlineStr">
        <is>
          <t>AC-09</t>
        </is>
      </c>
      <c r="B71" s="2" t="inlineStr">
        <is>
          <t>TC-GRADE-001, TC-GRADE-002, TC-GRADE-003, TC-GRADE-004, TC-GRADE-005, TC-GRADE-007, TC-GRADE-008, TC-UI-007, TC-API-004, TC-DB-009</t>
        </is>
      </c>
      <c r="C71" s="2" t="inlineStr">
        <is>
          <t>需求与设计V2.0</t>
        </is>
      </c>
      <c r="D71" s="2" t="inlineStr">
        <is>
          <t>已建立计划关联；实际执行见执行记录</t>
        </is>
      </c>
      <c r="E71" s="2" t="inlineStr"/>
    </row>
    <row r="72" ht="36" customHeight="1">
      <c r="A72" s="2" t="inlineStr">
        <is>
          <t>AC-10</t>
        </is>
      </c>
      <c r="B72" s="2" t="inlineStr">
        <is>
          <t>TC-GRADE-006, TC-GRADE-008</t>
        </is>
      </c>
      <c r="C72" s="2" t="inlineStr">
        <is>
          <t>需求与设计V2.0</t>
        </is>
      </c>
      <c r="D72" s="2" t="inlineStr">
        <is>
          <t>已建立计划关联；实际执行见执行记录</t>
        </is>
      </c>
      <c r="E72" s="2" t="inlineStr"/>
    </row>
    <row r="73" ht="36" customHeight="1">
      <c r="A73" s="2" t="inlineStr">
        <is>
          <t>AC-11</t>
        </is>
      </c>
      <c r="B73" s="2" t="inlineStr">
        <is>
          <t>TC-PEOPLE-001, TC-PEOPLE-002, TC-PEOPLE-003, TC-PEOPLE-004, TC-PEOPLE-006, TC-PEOPLE-007, TC-PEOPLE-008, TC-PEOPLE-009, TC-PEOPLE-010, TC-PEOPLE-011, TC-PEOPLE-012</t>
        </is>
      </c>
      <c r="C73" s="2" t="inlineStr">
        <is>
          <t>需求与设计V2.0</t>
        </is>
      </c>
      <c r="D73" s="2" t="inlineStr">
        <is>
          <t>已建立计划关联；实际执行见执行记录</t>
        </is>
      </c>
      <c r="E73" s="2" t="inlineStr"/>
    </row>
    <row r="74" ht="36" customHeight="1">
      <c r="A74" s="2" t="inlineStr">
        <is>
          <t>AC-12</t>
        </is>
      </c>
      <c r="B74" s="2" t="inlineStr">
        <is>
          <t>TC-CLOSE-001, TC-CLOSE-002, TC-CLOSE-003, TC-CLOSE-004, TC-CLOSE-005, TC-CLOSE-006, TC-CLOSE-007, TC-CLOSE-008, TC-CLOSE-009, TC-CLOSE-010, TC-CLOSE-011, TC-CLOSE-012, TC-UI-009</t>
        </is>
      </c>
      <c r="C74" s="2" t="inlineStr">
        <is>
          <t>需求与设计V2.0</t>
        </is>
      </c>
      <c r="D74" s="2" t="inlineStr">
        <is>
          <t>已建立计划关联；实际执行见执行记录</t>
        </is>
      </c>
      <c r="E74" s="2" t="inlineStr"/>
    </row>
    <row r="75" ht="36" customHeight="1">
      <c r="A75" s="2" t="inlineStr">
        <is>
          <t>AC-13</t>
        </is>
      </c>
      <c r="B75" s="2" t="inlineStr">
        <is>
          <t>TC-CLOSE-001, TC-CLOSE-002, TC-CLOSE-003, TC-CLOSE-004, TC-CLOSE-005, TC-CLOSE-006, TC-CLOSE-007, TC-CLOSE-008, TC-CLOSE-009, TC-CLOSE-010, TC-CLOSE-011, TC-CLOSE-012, TC-UI-009</t>
        </is>
      </c>
      <c r="C75" s="2" t="inlineStr">
        <is>
          <t>需求与设计V2.0</t>
        </is>
      </c>
      <c r="D75" s="2" t="inlineStr">
        <is>
          <t>已建立计划关联；实际执行见执行记录</t>
        </is>
      </c>
      <c r="E75" s="2" t="inlineStr"/>
    </row>
    <row r="76" ht="36" customHeight="1">
      <c r="A76" s="2" t="inlineStr">
        <is>
          <t>AC-14</t>
        </is>
      </c>
      <c r="B76" s="2" t="inlineStr">
        <is>
          <t>TC-BILL-001, TC-BILL-002, TC-BILL-003, TC-BILL-004, TC-BILL-005, TC-BILL-006, TC-BILL-007, TC-BILL-008, TC-BILL-009, TC-BILL-010, TC-BILL-011, TC-BILL-012, TC-UI-005, TC-UI-009, TC-OPS-001, TC-OPS-002, TC-OPS-003, TC-OPS-004, TC-OPS-005, TC-OPS-006, TC-OPS-007, TC-OPS-008, TC-OPS-009, TC-API-005</t>
        </is>
      </c>
      <c r="C76" s="2" t="inlineStr">
        <is>
          <t>需求与设计V2.0</t>
        </is>
      </c>
      <c r="D76" s="2" t="inlineStr">
        <is>
          <t>已建立计划关联；实际执行见执行记录</t>
        </is>
      </c>
      <c r="E76" s="2" t="inlineStr"/>
    </row>
    <row r="77" ht="36" customHeight="1">
      <c r="A77" s="2" t="inlineStr">
        <is>
          <t>AC-15</t>
        </is>
      </c>
      <c r="B77" s="2" t="inlineStr">
        <is>
          <t>TC-CLOSE-001, TC-CLOSE-002, TC-CLOSE-003, TC-CLOSE-004, TC-CLOSE-005, TC-CLOSE-006, TC-CLOSE-007, TC-CLOSE-008, TC-CLOSE-009, TC-CLOSE-010, TC-CLOSE-011, TC-CLOSE-012, TC-CON-001, TC-CON-002, TC-CON-003, TC-CON-004, TC-CON-005, TC-CON-006, TC-CON-007, TC-CON-008, TC-CON-009, TC-CON-010, TC-UI-005, TC-UI-009, TC-OPS-001, TC-OPS-002, TC-OPS-003, TC-OPS-004, TC-OPS-005, TC-OPS-006, TC-OPS-007, TC-OPS-008, TC-OPS-009, TC-API-005</t>
        </is>
      </c>
      <c r="C77" s="2" t="inlineStr">
        <is>
          <t>需求与设计V2.0</t>
        </is>
      </c>
      <c r="D77" s="2" t="inlineStr">
        <is>
          <t>已建立计划关联；实际执行见执行记录</t>
        </is>
      </c>
      <c r="E77" s="2" t="inlineStr"/>
    </row>
    <row r="78" ht="36" customHeight="1">
      <c r="A78" s="2" t="inlineStr">
        <is>
          <t>AC-16</t>
        </is>
      </c>
      <c r="B78" s="2" t="inlineStr">
        <is>
          <t>TC-CAT-002, TC-PEOPLE-008, TC-UI-006, TC-UI-008, TC-API-003, TC-COMP-001, TC-COMP-002, TC-COMP-003, TC-COMP-004</t>
        </is>
      </c>
      <c r="C78" s="2" t="inlineStr">
        <is>
          <t>需求与设计V2.0</t>
        </is>
      </c>
      <c r="D78" s="2" t="inlineStr">
        <is>
          <t>已建立计划关联；实际执行见执行记录</t>
        </is>
      </c>
      <c r="E78" s="2" t="inlineStr"/>
    </row>
    <row r="79" ht="36" customHeight="1">
      <c r="A79" s="2" t="inlineStr">
        <is>
          <t>AC-17</t>
        </is>
      </c>
      <c r="B79" s="2" t="inlineStr">
        <is>
          <t>TC-PERF-001, TC-PERF-002, TC-PERF-003, TC-PERF-004, TC-PERF-005, TC-PERF-006, TC-PERF-007, TC-PERF-008, TC-PERF-009</t>
        </is>
      </c>
      <c r="C79" s="2" t="inlineStr">
        <is>
          <t>需求与设计V2.0</t>
        </is>
      </c>
      <c r="D79" s="2" t="inlineStr">
        <is>
          <t>已建立计划关联；实际执行见执行记录</t>
        </is>
      </c>
      <c r="E79" s="2" t="inlineStr"/>
    </row>
  </sheetData>
  <autoFilter ref="A1:E79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0" customWidth="1" min="3" max="3"/>
  </cols>
  <sheetData>
    <row r="1" ht="30" customHeight="1">
      <c r="A1" s="1" t="inlineStr">
        <is>
          <t>编号</t>
        </is>
      </c>
      <c r="B1" s="1" t="inlineStr">
        <is>
          <t>数据范围</t>
        </is>
      </c>
      <c r="C1" s="1" t="inlineStr">
        <is>
          <t>构造与约束</t>
        </is>
      </c>
    </row>
    <row r="2" ht="36" customHeight="1">
      <c r="A2" s="2" t="inlineStr">
        <is>
          <t>D01 基础闭环</t>
        </is>
      </c>
      <c r="B2" s="2" t="inlineStr">
        <is>
          <t>三角色、当前/上一完成学期、6个候选班、资格</t>
        </is>
      </c>
      <c r="C2" s="2" t="inlineStr">
        <is>
          <t>所有账号初始改密完成；常规窗口OPEN；主选时间互不冲突</t>
        </is>
      </c>
    </row>
    <row r="3" ht="36" customHeight="1">
      <c r="A3" s="2" t="inlineStr">
        <is>
          <t>D02 时钟窗口</t>
        </is>
      </c>
      <c r="B3" s="2" t="inlineStr">
        <is>
          <t>registration与add/drop起止边界</t>
        </is>
      </c>
      <c r="C3" s="2" t="inlineStr">
        <is>
          <t>注入应用Clock，不修改Windows系统时钟；开始前/开始/结束前/结束</t>
        </is>
      </c>
    </row>
    <row r="4" ht="36" customHeight="1">
      <c r="A4" s="2" t="inlineStr">
        <is>
          <t>D03 时间矩阵</t>
        </is>
      </c>
      <c r="B4" s="2" t="inlineStr">
        <is>
          <t>相邻、重叠、单双周、日期不相交、非法跨午夜</t>
        </is>
      </c>
      <c r="C4" s="2" t="inlineStr">
        <is>
          <t>基于日期、week_mask、星期及本地时间，含学期首周边界</t>
        </is>
      </c>
    </row>
    <row r="5" ht="36" customHeight="1">
      <c r="A5" s="2" t="inlineStr">
        <is>
          <t>D04 先修矩阵</t>
        </is>
      </c>
      <c r="B5" s="2" t="inlineStr">
        <is>
          <t>A/B/C/D/F/I/null、缺失、多个先修</t>
        </is>
      </c>
      <c r="C5" s="2" t="inlineStr">
        <is>
          <t>先修成绩在此前已完成学期；同课程不同快照稳定ID</t>
        </is>
      </c>
    </row>
    <row r="6" ht="36" customHeight="1">
      <c r="A6" s="2" t="inlineStr">
        <is>
          <t>D05 容量竞争</t>
        </is>
      </c>
      <c r="B6" s="2" t="inlineStr">
        <is>
          <t>9人/10人班、至少30独立申请者</t>
        </is>
      </c>
      <c r="C6" s="2" t="inlineStr">
        <is>
          <t>每申请者其他3主选独立或充分有名额，避免其他班先失败</t>
        </is>
      </c>
    </row>
    <row r="7" ht="36" customHeight="1">
      <c r="A7" s="2" t="inlineStr">
        <is>
          <t>D06 关闭补位</t>
        </is>
      </c>
      <c r="B7" s="2" t="inlineStr">
        <is>
          <t>2/3/10人、无教师、有序备选、首次提交排序</t>
        </is>
      </c>
      <c r="C7" s="2" t="inlineStr">
        <is>
          <t>参与者曾完整首次提交，后经add/drop形成目标状态；含独立锚定学生</t>
        </is>
      </c>
    </row>
    <row r="8" ht="36" customHeight="1">
      <c r="A8" s="2" t="inlineStr">
        <is>
          <t>D07 关闭故障</t>
        </is>
      </c>
      <c r="B8" s="2" t="inlineStr">
        <is>
          <t>事务写入检查点、任务租约、前后快照</t>
        </is>
      </c>
      <c r="C8" s="2" t="inlineStr">
        <is>
          <t>中断后可恢复，同学期仅一个逻辑任务</t>
        </is>
      </c>
    </row>
    <row r="9" ht="36" customHeight="1">
      <c r="A9" s="2" t="inlineStr">
        <is>
          <t>D08 计费故障</t>
        </is>
      </c>
      <c r="B9" s="2" t="inlineStr">
        <is>
          <t>持久收件表、业务键、payload hash、丢响应/超时/重复</t>
        </is>
      </c>
      <c r="C9" s="2" t="inlineStr">
        <is>
          <t>计费Mock与业务库分开，停止响应不抹去已接收记录</t>
        </is>
      </c>
    </row>
    <row r="10" ht="36" customHeight="1">
      <c r="A10" s="2" t="inlineStr">
        <is>
          <t>D09 成绩历史</t>
        </is>
      </c>
      <c r="B10" s="2" t="inlineStr">
        <is>
          <t>上一完成学期两教师不同班、空/已有成绩</t>
        </is>
      </c>
      <c r="C10" s="2" t="inlineStr">
        <is>
          <t>历史教授归属固定，ACTIVE历史名单，账号/成绩version</t>
        </is>
      </c>
    </row>
    <row r="11" ht="36" customHeight="1">
      <c r="A11" s="2" t="inlineStr">
        <is>
          <t>D10 人员</t>
        </is>
      </c>
      <c r="B11" s="2" t="inlineStr">
        <is>
          <t>新增、原字段、SSN、状态、历史/当前关联、逻辑删除</t>
        </is>
      </c>
      <c r="C11" s="2" t="inlineStr">
        <is>
          <t>账号与人员同事务，当前关联删除必须拒绝</t>
        </is>
      </c>
    </row>
    <row r="12" ht="36" customHeight="1">
      <c r="A12" s="2" t="inlineStr">
        <is>
          <t>D11 压力池</t>
        </is>
      </c>
      <c r="B12" s="2" t="inlineStr">
        <is>
          <t>500/2000独立活动会话及更多可用数据</t>
        </is>
      </c>
      <c r="C12" s="2" t="inlineStr">
        <is>
          <t>分散名额/版本热点，按业务集合循环，详见第9章</t>
        </is>
      </c>
    </row>
    <row r="13" ht="36" customHeight="1">
      <c r="A13" s="2" t="inlineStr">
        <is>
          <t>D12 迁移恢复</t>
        </is>
      </c>
      <c r="B13" s="2" t="inlineStr">
        <is>
          <t>从空库迁移、旧schema、备份、版本checksum</t>
        </is>
      </c>
      <c r="C13" s="2" t="inlineStr">
        <is>
          <t>再次执行不重复种子；恢复后核对任务及历史数据</t>
        </is>
      </c>
    </row>
    <row r="14" ht="36" customHeight="1">
      <c r="A14" s="2" t="inlineStr">
        <is>
          <t>D13 目录缓存</t>
        </is>
      </c>
      <c r="B14" s="2" t="inlineStr">
        <is>
          <t>冻结快照、外部新版本、TTL到期、不可用</t>
        </is>
      </c>
      <c r="C14" s="2" t="inlineStr">
        <is>
          <t>非开放期变更主数据，不静默更新历史；缓存在静态范围</t>
        </is>
      </c>
    </row>
    <row r="15" ht="36" customHeight="1">
      <c r="A15" s="2" t="inlineStr">
        <is>
          <t>D14 认证支持</t>
        </is>
      </c>
      <c r="B15" s="2" t="inlineStr">
        <is>
          <t>must_change_password、credential_version、多个会话</t>
        </is>
      </c>
      <c r="C15" s="2" t="inlineStr">
        <is>
          <t>改密/重置/删除后旧会话拒绝；凭据不进入日志</t>
        </is>
      </c>
    </row>
  </sheetData>
  <autoFilter ref="A1:C15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0" customWidth="1" min="4" max="4"/>
    <col width="40" customWidth="1" min="5" max="5"/>
    <col width="40" customWidth="1" min="6" max="6"/>
    <col width="4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1" t="inlineStr">
        <is>
          <t>环境编号</t>
        </is>
      </c>
      <c r="B1" s="1" t="inlineStr">
        <is>
          <t>用途</t>
        </is>
      </c>
      <c r="C1" s="1" t="inlineStr">
        <is>
          <t>构建/提交</t>
        </is>
      </c>
      <c r="D1" s="1" t="inlineStr">
        <is>
          <t>服务拓扑</t>
        </is>
      </c>
      <c r="E1" s="1" t="inlineStr">
        <is>
          <t>CPU/内存/磁盘</t>
        </is>
      </c>
      <c r="F1" s="1" t="inlineStr">
        <is>
          <t>DB版本及参数</t>
        </is>
      </c>
      <c r="G1" s="1" t="inlineStr">
        <is>
          <t>工具/浏览器版本</t>
        </is>
      </c>
      <c r="H1" s="1" t="inlineStr">
        <is>
          <t>Session策略</t>
        </is>
      </c>
      <c r="I1" s="1" t="inlineStr">
        <is>
          <t>数据快照</t>
        </is>
      </c>
      <c r="J1" s="1" t="inlineStr">
        <is>
          <t>登记人/日期</t>
        </is>
      </c>
      <c r="K1" s="1" t="inlineStr">
        <is>
          <t>核验结论</t>
        </is>
      </c>
    </row>
  </sheetData>
  <autoFilter ref="A1:K1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60" customWidth="1" min="7" max="7"/>
    <col width="60" customWidth="1" min="8" max="8"/>
    <col width="4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</cols>
  <sheetData>
    <row r="1" ht="30" customHeight="1">
      <c r="A1" s="1" t="inlineStr">
        <is>
          <t>缺陷编号</t>
        </is>
      </c>
      <c r="B1" s="1" t="inlineStr">
        <is>
          <t>标题</t>
        </is>
      </c>
      <c r="C1" s="1" t="inlineStr">
        <is>
          <t>关联用例/runId</t>
        </is>
      </c>
      <c r="D1" s="1" t="inlineStr">
        <is>
          <t>严重级别</t>
        </is>
      </c>
      <c r="E1" s="1" t="inlineStr">
        <is>
          <t>优先级</t>
        </is>
      </c>
      <c r="F1" s="1" t="inlineStr">
        <is>
          <t>构建环境</t>
        </is>
      </c>
      <c r="G1" s="1" t="inlineStr">
        <is>
          <t>复现步骤</t>
        </is>
      </c>
      <c r="H1" s="1" t="inlineStr">
        <is>
          <t>预期/实际</t>
        </is>
      </c>
      <c r="I1" s="1" t="inlineStr">
        <is>
          <t>证据</t>
        </is>
      </c>
      <c r="J1" s="1" t="inlineStr">
        <is>
          <t>责任人</t>
        </is>
      </c>
      <c r="K1" s="1" t="inlineStr">
        <is>
          <t>状态</t>
        </is>
      </c>
      <c r="L1" s="1" t="inlineStr">
        <is>
          <t>修复构建</t>
        </is>
      </c>
      <c r="M1" s="1" t="inlineStr">
        <is>
          <t>回归runId</t>
        </is>
      </c>
      <c r="N1" s="1" t="inlineStr">
        <is>
          <t>风险或延期结论</t>
        </is>
      </c>
    </row>
    <row r="2">
      <c r="A2" t="inlineStr">
        <is>
          <t>DEF-A01</t>
        </is>
      </c>
      <c r="B2" t="inlineStr">
        <is>
          <t>大目录全量加载再分页</t>
        </is>
      </c>
      <c r="C2" t="inlineStr">
        <is>
          <t>A14/500-short</t>
        </is>
      </c>
      <c r="D2" t="inlineStr">
        <is>
          <t>S3</t>
        </is>
      </c>
      <c r="E2" t="inlineStr">
        <is>
          <t>P1</t>
        </is>
      </c>
      <c r="F2" t="inlineStr">
        <is>
          <t>Windows本机验收修订版</t>
        </is>
      </c>
      <c r="G2" t="inlineStr">
        <is>
          <t>大目录全量加载再分页</t>
        </is>
      </c>
      <c r="H2" t="inlineStr">
        <is>
          <t>预期符合业务/脚本同步；实际见首次失败或代码检查</t>
        </is>
      </c>
      <c r="I2" t="inlineStr">
        <is>
          <t>验收证据/A14；mixed-load.json</t>
        </is>
      </c>
      <c r="J2" t="inlineStr">
        <is>
          <t>Codex自动修复</t>
        </is>
      </c>
      <c r="K2" t="inlineStr">
        <is>
          <t>自动修复并复测；待成员核验</t>
        </is>
      </c>
      <c r="L2" t="inlineStr">
        <is>
          <t>V0.2.0验收候选</t>
        </is>
      </c>
      <c r="M2" t="inlineStr">
        <is>
          <t>A14/500-short</t>
        </is>
      </c>
      <c r="N2" t="inlineStr">
        <is>
          <t>SQL分页</t>
        </is>
      </c>
    </row>
    <row r="3">
      <c r="A3" t="inlineStr">
        <is>
          <t>DEF-A02</t>
        </is>
      </c>
      <c r="B3" t="inlineStr">
        <is>
          <t>重置密码手输账号ID难以使用</t>
        </is>
      </c>
      <c r="C3" t="inlineStr">
        <is>
          <t>A10/B03</t>
        </is>
      </c>
      <c r="D3" t="inlineStr">
        <is>
          <t>S3</t>
        </is>
      </c>
      <c r="E3" t="inlineStr">
        <is>
          <t>P1</t>
        </is>
      </c>
      <c r="F3" t="inlineStr">
        <is>
          <t>Windows本机验收修订版</t>
        </is>
      </c>
      <c r="G3" t="inlineStr">
        <is>
          <t>重置密码手输账号ID难以使用</t>
        </is>
      </c>
      <c r="H3" t="inlineStr">
        <is>
          <t>预期符合业务/脚本同步；实际见首次失败或代码检查</t>
        </is>
      </c>
      <c r="I3" t="inlineStr">
        <is>
          <t>验收证据/acceptance.json；rehearsal.json</t>
        </is>
      </c>
      <c r="J3" t="inlineStr">
        <is>
          <t>Codex自动修复</t>
        </is>
      </c>
      <c r="K3" t="inlineStr">
        <is>
          <t>自动修复并复测；待成员核验</t>
        </is>
      </c>
      <c r="L3" t="inlineStr">
        <is>
          <t>V0.2.0验收候选</t>
        </is>
      </c>
      <c r="M3" t="inlineStr">
        <is>
          <t>A10/B03</t>
        </is>
      </c>
      <c r="N3" t="inlineStr">
        <is>
          <t>人员行安全关联重置</t>
        </is>
      </c>
    </row>
    <row r="4">
      <c r="A4" t="inlineStr">
        <is>
          <t>DEF-A03</t>
        </is>
      </c>
      <c r="B4" t="inlineStr">
        <is>
          <t>切历史班可丢未保存成绩</t>
        </is>
      </c>
      <c r="C4" t="inlineStr">
        <is>
          <t>B02</t>
        </is>
      </c>
      <c r="D4" t="inlineStr">
        <is>
          <t>S3</t>
        </is>
      </c>
      <c r="E4" t="inlineStr">
        <is>
          <t>P1</t>
        </is>
      </c>
      <c r="F4" t="inlineStr">
        <is>
          <t>Windows本机验收修订版</t>
        </is>
      </c>
      <c r="G4" t="inlineStr">
        <is>
          <t>切历史班可丢未保存成绩</t>
        </is>
      </c>
      <c r="H4" t="inlineStr">
        <is>
          <t>预期符合业务/脚本同步；实际见首次失败或代码检查</t>
        </is>
      </c>
      <c r="I4" t="inlineStr">
        <is>
          <t>验收证据/rehearsal.json</t>
        </is>
      </c>
      <c r="J4" t="inlineStr">
        <is>
          <t>Codex自动修复</t>
        </is>
      </c>
      <c r="K4" t="inlineStr">
        <is>
          <t>自动修复并复测；待成员核验</t>
        </is>
      </c>
      <c r="L4" t="inlineStr">
        <is>
          <t>V0.2.0验收候选</t>
        </is>
      </c>
      <c r="M4" t="inlineStr">
        <is>
          <t>B02</t>
        </is>
      </c>
      <c r="N4" t="inlineStr">
        <is>
          <t>切班确认及取消恢复</t>
        </is>
      </c>
    </row>
    <row r="5">
      <c r="A5" t="inlineStr">
        <is>
          <t>DEF-A04</t>
        </is>
      </c>
      <c r="B5" t="inlineStr">
        <is>
          <t>重启测试子进程输出管道挂起</t>
        </is>
      </c>
      <c r="C5" t="inlineStr">
        <is>
          <t>R01/R02</t>
        </is>
      </c>
      <c r="D5" t="inlineStr">
        <is>
          <t>S4</t>
        </is>
      </c>
      <c r="E5" t="inlineStr">
        <is>
          <t>P2</t>
        </is>
      </c>
      <c r="F5" t="inlineStr">
        <is>
          <t>Windows本机验收修订版</t>
        </is>
      </c>
      <c r="G5" t="inlineStr">
        <is>
          <t>重启测试子进程输出管道挂起</t>
        </is>
      </c>
      <c r="H5" t="inlineStr">
        <is>
          <t>预期符合业务/脚本同步；实际见首次失败或代码检查</t>
        </is>
      </c>
      <c r="I5" t="inlineStr">
        <is>
          <t>验收证据/restart-recovery.json</t>
        </is>
      </c>
      <c r="J5" t="inlineStr">
        <is>
          <t>Codex自动修复</t>
        </is>
      </c>
      <c r="K5" t="inlineStr">
        <is>
          <t>自动修复并复测；待成员核验</t>
        </is>
      </c>
      <c r="L5" t="inlineStr">
        <is>
          <t>V0.2.0验收候选</t>
        </is>
      </c>
      <c r="M5" t="inlineStr">
        <is>
          <t>R01/R02</t>
        </is>
      </c>
      <c r="N5" t="inlineStr">
        <is>
          <t>输出DEVNULL避免管道继承</t>
        </is>
      </c>
    </row>
    <row r="6">
      <c r="A6" t="inlineStr">
        <is>
          <t>DEF-A05</t>
        </is>
      </c>
      <c r="B6" t="inlineStr">
        <is>
          <t>目录请求10秒无总延迟余量</t>
        </is>
      </c>
      <c r="C6" t="inlineStr">
        <is>
          <t>A13</t>
        </is>
      </c>
      <c r="D6" t="inlineStr">
        <is>
          <t>S3</t>
        </is>
      </c>
      <c r="E6" t="inlineStr">
        <is>
          <t>P1</t>
        </is>
      </c>
      <c r="F6" t="inlineStr">
        <is>
          <t>Windows本机验收修订版</t>
        </is>
      </c>
      <c r="G6" t="inlineStr">
        <is>
          <t>目录请求10秒无总延迟余量</t>
        </is>
      </c>
      <c r="H6" t="inlineStr">
        <is>
          <t>预期符合业务/脚本同步；实际见首次失败或代码检查</t>
        </is>
      </c>
      <c r="I6" t="inlineStr">
        <is>
          <t>验收证据/acceptance.json</t>
        </is>
      </c>
      <c r="J6" t="inlineStr">
        <is>
          <t>Codex自动修复</t>
        </is>
      </c>
      <c r="K6" t="inlineStr">
        <is>
          <t>自动修复并复测；待成员核验</t>
        </is>
      </c>
      <c r="L6" t="inlineStr">
        <is>
          <t>V0.2.0验收候选</t>
        </is>
      </c>
      <c r="M6" t="inlineStr">
        <is>
          <t>A13</t>
        </is>
      </c>
      <c r="N6" t="inlineStr">
        <is>
          <t>内部请求预算9秒</t>
        </is>
      </c>
    </row>
    <row r="7">
      <c r="A7" t="inlineStr">
        <is>
          <t>DEF-A06</t>
        </is>
      </c>
      <c r="B7" t="inlineStr">
        <is>
          <t>默认确认框按钮英文</t>
        </is>
      </c>
      <c r="C7" t="inlineStr">
        <is>
          <t>B02</t>
        </is>
      </c>
      <c r="D7" t="inlineStr">
        <is>
          <t>S4</t>
        </is>
      </c>
      <c r="E7" t="inlineStr">
        <is>
          <t>P2</t>
        </is>
      </c>
      <c r="F7" t="inlineStr">
        <is>
          <t>Windows本机验收修订版</t>
        </is>
      </c>
      <c r="G7" t="inlineStr">
        <is>
          <t>默认确认框按钮英文</t>
        </is>
      </c>
      <c r="H7" t="inlineStr">
        <is>
          <t>预期符合业务/脚本同步；实际见首次失败或代码检查</t>
        </is>
      </c>
      <c r="I7" t="inlineStr">
        <is>
          <t>验收证据/rehearsal-first-failure.json；rehearsal.json</t>
        </is>
      </c>
      <c r="J7" t="inlineStr">
        <is>
          <t>Codex自动修复</t>
        </is>
      </c>
      <c r="K7" t="inlineStr">
        <is>
          <t>自动修复并复测；待成员核验</t>
        </is>
      </c>
      <c r="L7" t="inlineStr">
        <is>
          <t>V0.2.0验收候选</t>
        </is>
      </c>
      <c r="M7" t="inlineStr">
        <is>
          <t>B02</t>
        </is>
      </c>
      <c r="N7" t="inlineStr">
        <is>
          <t>中文语言包</t>
        </is>
      </c>
    </row>
    <row r="8">
      <c r="A8" t="inlineStr">
        <is>
          <t>DEF-A07</t>
        </is>
      </c>
      <c r="B8" t="inlineStr">
        <is>
          <t>登录完成前脚本发保护请求</t>
        </is>
      </c>
      <c r="C8" t="inlineStr">
        <is>
          <t>B06</t>
        </is>
      </c>
      <c r="D8" t="inlineStr">
        <is>
          <t>S4</t>
        </is>
      </c>
      <c r="E8" t="inlineStr">
        <is>
          <t>P2</t>
        </is>
      </c>
      <c r="F8" t="inlineStr">
        <is>
          <t>Windows本机验收修订版</t>
        </is>
      </c>
      <c r="G8" t="inlineStr">
        <is>
          <t>登录完成前脚本发保护请求</t>
        </is>
      </c>
      <c r="H8" t="inlineStr">
        <is>
          <t>预期符合业务/脚本同步；实际见首次失败或代码检查</t>
        </is>
      </c>
      <c r="I8" t="inlineStr">
        <is>
          <t>验收证据/rehearsal-second-failure.json；rehearsal.json</t>
        </is>
      </c>
      <c r="J8" t="inlineStr">
        <is>
          <t>Codex自动修复</t>
        </is>
      </c>
      <c r="K8" t="inlineStr">
        <is>
          <t>自动修复并复测；待成员核验</t>
        </is>
      </c>
      <c r="L8" t="inlineStr">
        <is>
          <t>V0.2.0验收候选</t>
        </is>
      </c>
      <c r="M8" t="inlineStr">
        <is>
          <t>B06</t>
        </is>
      </c>
      <c r="N8" t="inlineStr">
        <is>
          <t>等待角色路由及身份标识</t>
        </is>
      </c>
    </row>
  </sheetData>
  <autoFilter ref="A1:N1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45" customWidth="1" min="14" max="14"/>
    <col width="22" customWidth="1" min="15" max="15"/>
  </cols>
  <sheetData>
    <row r="1" ht="30" customHeight="1">
      <c r="A1" s="1" t="inlineStr">
        <is>
          <t>轮次</t>
        </is>
      </c>
      <c r="B1" s="1" t="inlineStr">
        <is>
          <t>规划</t>
        </is>
      </c>
      <c r="C1" s="1" t="inlineStr">
        <is>
          <t>实际并发</t>
        </is>
      </c>
      <c r="D1" s="1" t="inlineStr">
        <is>
          <t>实例及共享DB</t>
        </is>
      </c>
      <c r="E1" s="1" t="inlineStr">
        <is>
          <t>构建/数据</t>
        </is>
      </c>
      <c r="F1" s="1" t="inlineStr">
        <is>
          <t>工具配置</t>
        </is>
      </c>
      <c r="G1" s="1" t="inlineStr">
        <is>
          <t>稳态时长</t>
        </is>
      </c>
      <c r="H1" s="1" t="inlineStr">
        <is>
          <t>总尝试</t>
        </is>
      </c>
      <c r="I1" s="1" t="inlineStr">
        <is>
          <t>成功且&lt;=120秒</t>
        </is>
      </c>
      <c r="J1" s="1" t="inlineStr">
        <is>
          <t>达标比例</t>
        </is>
      </c>
      <c r="K1" s="1" t="inlineStr">
        <is>
          <t>技术失败数</t>
        </is>
      </c>
      <c r="L1" s="1" t="inlineStr">
        <is>
          <t>业务冲突数</t>
        </is>
      </c>
      <c r="M1" s="1" t="inlineStr">
        <is>
          <t>目录最坏秒</t>
        </is>
      </c>
      <c r="N1" s="1" t="inlineStr">
        <is>
          <t>资源证据</t>
        </is>
      </c>
      <c r="O1" s="1" t="inlineStr">
        <is>
          <t>结论</t>
        </is>
      </c>
    </row>
    <row r="2" ht="36" customHeight="1">
      <c r="A2" s="2" t="inlineStr">
        <is>
          <t>L0</t>
        </is>
      </c>
      <c r="B2" s="2" t="inlineStr">
        <is>
          <t>基准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NOT_RUN</t>
        </is>
      </c>
    </row>
    <row r="3" ht="36" customHeight="1">
      <c r="A3" s="2" t="inlineStr">
        <is>
          <t>L1</t>
        </is>
      </c>
      <c r="B3" s="2" t="inlineStr">
        <is>
          <t>单实例100/300/500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NOT_RUN</t>
        </is>
      </c>
    </row>
    <row r="4" ht="36" customHeight="1">
      <c r="A4" s="2" t="inlineStr">
        <is>
          <t>L2</t>
        </is>
      </c>
      <c r="B4" s="2" t="inlineStr">
        <is>
          <t>共享DB500/1000/2000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NOT_RUN</t>
        </is>
      </c>
    </row>
    <row r="5" ht="36" customHeight="1">
      <c r="A5" s="2" t="inlineStr">
        <is>
          <t>L3</t>
        </is>
      </c>
      <c r="B5" s="2" t="inlineStr">
        <is>
          <t>代表轮次独立复测两次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NOT_RUN</t>
        </is>
      </c>
    </row>
    <row r="6" ht="36" customHeight="1">
      <c r="A6" s="2" t="inlineStr">
        <is>
          <t>L4</t>
        </is>
      </c>
      <c r="B6" s="2" t="inlineStr">
        <is>
          <t>热点竞争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NOT_RUN</t>
        </is>
      </c>
    </row>
    <row r="7" ht="36" customHeight="1">
      <c r="A7" s="2" t="inlineStr">
        <is>
          <t>L5</t>
        </is>
      </c>
      <c r="B7" s="2" t="inlineStr">
        <is>
          <t>故障降级独立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NOT_RUN</t>
        </is>
      </c>
    </row>
    <row r="8" ht="36" customHeight="1">
      <c r="A8" s="2" t="inlineStr">
        <is>
          <t>L6</t>
        </is>
      </c>
      <c r="B8" s="2" t="inlineStr">
        <is>
          <t>60分钟稳定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NOT_RUN</t>
        </is>
      </c>
    </row>
  </sheetData>
  <autoFilter ref="A1:O8"/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50" customWidth="1" min="9" max="9"/>
    <col width="22" customWidth="1" min="10" max="10"/>
  </cols>
  <sheetData>
    <row r="1" ht="30" customHeight="1">
      <c r="A1" s="1" t="inlineStr">
        <is>
          <t>时间戳</t>
        </is>
      </c>
      <c r="B1" s="1" t="inlineStr">
        <is>
          <t>环境构建</t>
        </is>
      </c>
      <c r="C1" s="1" t="inlineStr">
        <is>
          <t>探测入口</t>
        </is>
      </c>
      <c r="D1" s="1" t="inlineStr">
        <is>
          <t>状态UP/DOWN/UNKNOWN</t>
        </is>
      </c>
      <c r="E1" s="1" t="inlineStr">
        <is>
          <t>响应时长</t>
        </is>
      </c>
      <c r="F1" s="1" t="inlineStr">
        <is>
          <t>核心DB断言</t>
        </is>
      </c>
      <c r="G1" s="1" t="inlineStr">
        <is>
          <t>计费降级</t>
        </is>
      </c>
      <c r="H1" s="1" t="inlineStr">
        <is>
          <t>维护窗口</t>
        </is>
      </c>
      <c r="I1" s="1" t="inlineStr">
        <is>
          <t>证据</t>
        </is>
      </c>
      <c r="J1" s="1" t="inlineStr">
        <is>
          <t>备注</t>
        </is>
      </c>
    </row>
  </sheetData>
  <autoFilter ref="A1:J1"/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22" customWidth="1" min="3" max="3"/>
    <col width="55" customWidth="1" min="4" max="4"/>
    <col width="22" customWidth="1" min="5" max="5"/>
    <col width="50" customWidth="1" min="6" max="6"/>
    <col width="22" customWidth="1" min="7" max="7"/>
  </cols>
  <sheetData>
    <row r="1" ht="30" customHeight="1">
      <c r="A1" s="1" t="inlineStr">
        <is>
          <t>编号</t>
        </is>
      </c>
      <c r="B1" s="1" t="inlineStr">
        <is>
          <t>检查项</t>
        </is>
      </c>
      <c r="C1" s="1" t="inlineStr">
        <is>
          <t>状态</t>
        </is>
      </c>
      <c r="D1" s="1" t="inlineStr">
        <is>
          <t>实际结果或缺口</t>
        </is>
      </c>
      <c r="E1" s="1" t="inlineStr">
        <is>
          <t>责任人</t>
        </is>
      </c>
      <c r="F1" s="1" t="inlineStr">
        <is>
          <t>证据</t>
        </is>
      </c>
      <c r="G1" s="1" t="inlineStr">
        <is>
          <t>日期</t>
        </is>
      </c>
    </row>
    <row r="2" ht="36" customHeight="1">
      <c r="A2" s="2" t="inlineStr">
        <is>
          <t>RC-01</t>
        </is>
      </c>
      <c r="B2" s="2" t="inlineStr">
        <is>
          <t>冻结commit/tag且可空环境构建</t>
        </is>
      </c>
      <c r="C2" s="2" t="inlineStr">
        <is>
          <t>NOT_RUN</t>
        </is>
      </c>
      <c r="D2" s="2" t="inlineStr"/>
      <c r="E2" s="2" t="inlineStr"/>
      <c r="F2" s="2" t="inlineStr"/>
      <c r="G2" s="2" t="inlineStr"/>
    </row>
    <row r="3" ht="36" customHeight="1">
      <c r="A3" s="2" t="inlineStr">
        <is>
          <t>RC-02</t>
        </is>
      </c>
      <c r="B3" s="2" t="inlineStr">
        <is>
          <t>迁移checksum与初始化升级</t>
        </is>
      </c>
      <c r="C3" s="2" t="inlineStr">
        <is>
          <t>NOT_RUN</t>
        </is>
      </c>
      <c r="D3" s="2" t="inlineStr"/>
      <c r="E3" s="2" t="inlineStr"/>
      <c r="F3" s="2" t="inlineStr"/>
      <c r="G3" s="2" t="inlineStr"/>
    </row>
    <row r="4" ht="36" customHeight="1">
      <c r="A4" s="2" t="inlineStr">
        <is>
          <t>RC-03</t>
        </is>
      </c>
      <c r="B4" s="2" t="inlineStr">
        <is>
          <t>目录/Billing Mock版本及持久去重</t>
        </is>
      </c>
      <c r="C4" s="2" t="inlineStr">
        <is>
          <t>NOT_RUN</t>
        </is>
      </c>
      <c r="D4" s="2" t="inlineStr"/>
      <c r="E4" s="2" t="inlineStr"/>
      <c r="F4" s="2" t="inlineStr"/>
      <c r="G4" s="2" t="inlineStr"/>
    </row>
    <row r="5" ht="36" customHeight="1">
      <c r="A5" s="2" t="inlineStr">
        <is>
          <t>RC-04</t>
        </is>
      </c>
      <c r="B5" s="2" t="inlineStr">
        <is>
          <t>虚构数据与三角色账号</t>
        </is>
      </c>
      <c r="C5" s="2" t="inlineStr">
        <is>
          <t>NOT_RUN</t>
        </is>
      </c>
      <c r="D5" s="2" t="inlineStr"/>
      <c r="E5" s="2" t="inlineStr"/>
      <c r="F5" s="2" t="inlineStr"/>
      <c r="G5" s="2" t="inlineStr"/>
    </row>
    <row r="6" ht="36" customHeight="1">
      <c r="A6" s="2" t="inlineStr">
        <is>
          <t>RC-05</t>
        </is>
      </c>
      <c r="B6" s="2" t="inlineStr">
        <is>
          <t>全P0功能与API契约</t>
        </is>
      </c>
      <c r="C6" s="2" t="inlineStr">
        <is>
          <t>NOT_RUN</t>
        </is>
      </c>
      <c r="D6" s="2" t="inlineStr"/>
      <c r="E6" s="2" t="inlineStr"/>
      <c r="F6" s="2" t="inlineStr"/>
      <c r="G6" s="2" t="inlineStr"/>
    </row>
    <row r="7" ht="36" customHeight="1">
      <c r="A7" s="2" t="inlineStr">
        <is>
          <t>RC-06</t>
        </is>
      </c>
      <c r="B7" s="2" t="inlineStr">
        <is>
          <t>真实DB约束和回滚</t>
        </is>
      </c>
      <c r="C7" s="2" t="inlineStr">
        <is>
          <t>NOT_RUN</t>
        </is>
      </c>
      <c r="D7" s="2" t="inlineStr"/>
      <c r="E7" s="2" t="inlineStr"/>
      <c r="F7" s="2" t="inlineStr"/>
      <c r="G7" s="2" t="inlineStr"/>
    </row>
    <row r="8" ht="36" customHeight="1">
      <c r="A8" s="2" t="inlineStr">
        <is>
          <t>RC-07</t>
        </is>
      </c>
      <c r="B8" s="2" t="inlineStr">
        <is>
          <t>最后一席及教师并发</t>
        </is>
      </c>
      <c r="C8" s="2" t="inlineStr">
        <is>
          <t>NOT_RUN</t>
        </is>
      </c>
      <c r="D8" s="2" t="inlineStr"/>
      <c r="E8" s="2" t="inlineStr"/>
      <c r="F8" s="2" t="inlineStr"/>
      <c r="G8" s="2" t="inlineStr"/>
    </row>
    <row r="9" ht="36" customHeight="1">
      <c r="A9" s="2" t="inlineStr">
        <is>
          <t>RC-08</t>
        </is>
      </c>
      <c r="B9" s="2" t="inlineStr">
        <is>
          <t>对象越权与CSRF/会话</t>
        </is>
      </c>
      <c r="C9" s="2" t="inlineStr">
        <is>
          <t>NOT_RUN</t>
        </is>
      </c>
      <c r="D9" s="2" t="inlineStr"/>
      <c r="E9" s="2" t="inlineStr"/>
      <c r="F9" s="2" t="inlineStr"/>
      <c r="G9" s="2" t="inlineStr"/>
    </row>
    <row r="10" ht="36" customHeight="1">
      <c r="A10" s="2" t="inlineStr">
        <is>
          <t>RC-09</t>
        </is>
      </c>
      <c r="B10" s="2" t="inlineStr">
        <is>
          <t>关闭BUSY和重复任务</t>
        </is>
      </c>
      <c r="C10" s="2" t="inlineStr">
        <is>
          <t>NOT_RUN</t>
        </is>
      </c>
      <c r="D10" s="2" t="inlineStr"/>
      <c r="E10" s="2" t="inlineStr"/>
      <c r="F10" s="2" t="inlineStr"/>
      <c r="G10" s="2" t="inlineStr"/>
    </row>
    <row r="11" ht="36" customHeight="1">
      <c r="A11" s="2" t="inlineStr">
        <is>
          <t>RC-10</t>
        </is>
      </c>
      <c r="B11" s="2" t="inlineStr">
        <is>
          <t>LEVELING固定场景及顺序</t>
        </is>
      </c>
      <c r="C11" s="2" t="inlineStr">
        <is>
          <t>NOT_RUN</t>
        </is>
      </c>
      <c r="D11" s="2" t="inlineStr"/>
      <c r="E11" s="2" t="inlineStr"/>
      <c r="F11" s="2" t="inlineStr"/>
      <c r="G11" s="2" t="inlineStr"/>
    </row>
    <row r="12" ht="36" customHeight="1">
      <c r="A12" s="2" t="inlineStr">
        <is>
          <t>RC-11</t>
        </is>
      </c>
      <c r="B12" s="2" t="inlineStr">
        <is>
          <t>Billing丢响应/确认写失败/重启/旧token</t>
        </is>
      </c>
      <c r="C12" s="2" t="inlineStr">
        <is>
          <t>NOT_RUN</t>
        </is>
      </c>
      <c r="D12" s="2" t="inlineStr"/>
      <c r="E12" s="2" t="inlineStr"/>
      <c r="F12" s="2" t="inlineStr"/>
      <c r="G12" s="2" t="inlineStr"/>
    </row>
    <row r="13" ht="36" customHeight="1">
      <c r="A13" s="2" t="inlineStr">
        <is>
          <t>RC-12</t>
        </is>
      </c>
      <c r="B13" s="2" t="inlineStr">
        <is>
          <t>数据巡检与外部全量对账</t>
        </is>
      </c>
      <c r="C13" s="2" t="inlineStr">
        <is>
          <t>NOT_RUN</t>
        </is>
      </c>
      <c r="D13" s="2" t="inlineStr"/>
      <c r="E13" s="2" t="inlineStr"/>
      <c r="F13" s="2" t="inlineStr"/>
      <c r="G13" s="2" t="inlineStr"/>
    </row>
    <row r="14" ht="36" customHeight="1">
      <c r="A14" s="2" t="inlineStr">
        <is>
          <t>RC-13</t>
        </is>
      </c>
      <c r="B14" s="2" t="inlineStr">
        <is>
          <t>Chrome/Edge四组合</t>
        </is>
      </c>
      <c r="C14" s="2" t="inlineStr">
        <is>
          <t>NOT_RUN</t>
        </is>
      </c>
      <c r="D14" s="2" t="inlineStr"/>
      <c r="E14" s="2" t="inlineStr"/>
      <c r="F14" s="2" t="inlineStr"/>
      <c r="G14" s="2" t="inlineStr"/>
    </row>
    <row r="15" ht="36" customHeight="1">
      <c r="A15" s="2" t="inlineStr">
        <is>
          <t>RC-14</t>
        </is>
      </c>
      <c r="B15" s="2" t="inlineStr">
        <is>
          <t>500/2000性能及限制</t>
        </is>
      </c>
      <c r="C15" s="2" t="inlineStr">
        <is>
          <t>NOT_RUN</t>
        </is>
      </c>
      <c r="D15" s="2" t="inlineStr"/>
      <c r="E15" s="2" t="inlineStr"/>
      <c r="F15" s="2" t="inlineStr"/>
      <c r="G15" s="2" t="inlineStr"/>
    </row>
    <row r="16" ht="36" customHeight="1">
      <c r="A16" s="2" t="inlineStr">
        <is>
          <t>RC-15</t>
        </is>
      </c>
      <c r="B16" s="2" t="inlineStr">
        <is>
          <t>七天可用性或未验证缺口</t>
        </is>
      </c>
      <c r="C16" s="2" t="inlineStr">
        <is>
          <t>NOT_RUN</t>
        </is>
      </c>
      <c r="D16" s="2" t="inlineStr"/>
      <c r="E16" s="2" t="inlineStr"/>
      <c r="F16" s="2" t="inlineStr"/>
      <c r="G16" s="2" t="inlineStr"/>
    </row>
    <row r="17" ht="36" customHeight="1">
      <c r="A17" s="2" t="inlineStr">
        <is>
          <t>RC-16</t>
        </is>
      </c>
      <c r="B17" s="2" t="inlineStr">
        <is>
          <t>备份恢复和冷启动手册</t>
        </is>
      </c>
      <c r="C17" s="2" t="inlineStr">
        <is>
          <t>NOT_RUN</t>
        </is>
      </c>
      <c r="D17" s="2" t="inlineStr"/>
      <c r="E17" s="2" t="inlineStr"/>
      <c r="F17" s="2" t="inlineStr"/>
      <c r="G17" s="2" t="inlineStr"/>
    </row>
    <row r="18" ht="36" customHeight="1">
      <c r="A18" s="2" t="inlineStr">
        <is>
          <t>RC-17</t>
        </is>
      </c>
      <c r="B18" s="2" t="inlineStr">
        <is>
          <t>遗留缺陷及延期风险</t>
        </is>
      </c>
      <c r="C18" s="2" t="inlineStr">
        <is>
          <t>NOT_RUN</t>
        </is>
      </c>
      <c r="D18" s="2" t="inlineStr"/>
      <c r="E18" s="2" t="inlineStr"/>
      <c r="F18" s="2" t="inlineStr"/>
      <c r="G18" s="2" t="inlineStr"/>
    </row>
    <row r="19" ht="36" customHeight="1">
      <c r="A19" s="2" t="inlineStr">
        <is>
          <t>RC-18</t>
        </is>
      </c>
      <c r="B19" s="2" t="inlineStr">
        <is>
          <t>故障Hook隔离和日志脱敏</t>
        </is>
      </c>
      <c r="C19" s="2" t="inlineStr">
        <is>
          <t>NOT_RUN</t>
        </is>
      </c>
      <c r="D19" s="2" t="inlineStr"/>
      <c r="E19" s="2" t="inlineStr"/>
      <c r="F19" s="2" t="inlineStr"/>
      <c r="G19" s="2" t="inlineStr"/>
    </row>
    <row r="20" ht="36" customHeight="1">
      <c r="A20" s="2" t="inlineStr">
        <is>
          <t>RC-19</t>
        </is>
      </c>
      <c r="B20" s="2" t="inlineStr">
        <is>
          <t>测试报告引用同一tag和证据</t>
        </is>
      </c>
      <c r="C20" s="2" t="inlineStr">
        <is>
          <t>NOT_RUN</t>
        </is>
      </c>
      <c r="D20" s="2" t="inlineStr"/>
      <c r="E20" s="2" t="inlineStr"/>
      <c r="F20" s="2" t="inlineStr"/>
      <c r="G20" s="2" t="inlineStr"/>
    </row>
    <row r="21" ht="36" customHeight="1">
      <c r="A21" s="2" t="inlineStr">
        <is>
          <t>RC-20</t>
        </is>
      </c>
      <c r="B21" s="2" t="inlineStr">
        <is>
          <t>AI辅助核验/成员贡献/签名</t>
        </is>
      </c>
      <c r="C21" s="2" t="inlineStr">
        <is>
          <t>NOT_RUN</t>
        </is>
      </c>
      <c r="D21" s="2" t="inlineStr"/>
      <c r="E21" s="2" t="inlineStr"/>
      <c r="F21" s="2" t="inlineStr"/>
      <c r="G21" s="2" t="inlineStr"/>
    </row>
  </sheetData>
  <autoFilter ref="A1:G21"/>
  <printOptions horizontalCentered="1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65" customWidth="1" min="9" max="9"/>
    <col width="22" customWidth="1" min="10" max="10"/>
    <col width="55" customWidth="1" min="11" max="11"/>
  </cols>
  <sheetData>
    <row r="1" ht="30" customHeight="1">
      <c r="A1" s="1" t="inlineStr">
        <is>
          <t>风险编号</t>
        </is>
      </c>
      <c r="B1" s="1" t="inlineStr">
        <is>
          <t>风险</t>
        </is>
      </c>
      <c r="C1" s="1" t="inlineStr">
        <is>
          <t>影响I1-5</t>
        </is>
      </c>
      <c r="D1" s="1" t="inlineStr">
        <is>
          <t>可能性L1-5</t>
        </is>
      </c>
      <c r="E1" s="1" t="inlineStr">
        <is>
          <t>难检测D1-5</t>
        </is>
      </c>
      <c r="F1" s="1" t="inlineStr">
        <is>
          <t>排序分</t>
        </is>
      </c>
      <c r="G1" s="1" t="inlineStr">
        <is>
          <t>优先级</t>
        </is>
      </c>
      <c r="H1" s="1" t="inlineStr">
        <is>
          <t>责任人</t>
        </is>
      </c>
      <c r="I1" s="1" t="inlineStr">
        <is>
          <t>缓解与测试入口</t>
        </is>
      </c>
      <c r="J1" s="1" t="inlineStr">
        <is>
          <t>实际状态</t>
        </is>
      </c>
      <c r="K1" s="1" t="inlineStr">
        <is>
          <t>证据或限制</t>
        </is>
      </c>
    </row>
    <row r="2" ht="36" customHeight="1">
      <c r="A2" s="2" t="inlineStr">
        <is>
          <t>RISK-01</t>
        </is>
      </c>
      <c r="B2" s="2" t="inlineStr">
        <is>
          <t>并发超员</t>
        </is>
      </c>
      <c r="C2" s="2" t="inlineStr"/>
      <c r="D2" s="2" t="inlineStr"/>
      <c r="E2" s="2" t="inlineStr"/>
      <c r="F2" s="2">
        <f>IF(COUNT(C2:E2)=3,PRODUCT(C2:E2),"")</f>
        <v/>
      </c>
      <c r="G2" s="2" t="inlineStr">
        <is>
          <t>P0</t>
        </is>
      </c>
      <c r="H2" s="2" t="inlineStr"/>
      <c r="I2" s="2" t="inlineStr"/>
      <c r="J2" s="2" t="inlineStr">
        <is>
          <t>待评审</t>
        </is>
      </c>
      <c r="K2" s="2" t="inlineStr"/>
    </row>
    <row r="3" ht="36" customHeight="1">
      <c r="A3" s="2" t="inlineStr">
        <is>
          <t>RISK-02</t>
        </is>
      </c>
      <c r="B3" s="2" t="inlineStr">
        <is>
          <t>选退课部分提交</t>
        </is>
      </c>
      <c r="C3" s="2" t="inlineStr"/>
      <c r="D3" s="2" t="inlineStr"/>
      <c r="E3" s="2" t="inlineStr"/>
      <c r="F3" s="2">
        <f>IF(COUNT(C3:E3)=3,PRODUCT(C3:E3),"")</f>
        <v/>
      </c>
      <c r="G3" s="2" t="inlineStr">
        <is>
          <t>P0</t>
        </is>
      </c>
      <c r="H3" s="2" t="inlineStr"/>
      <c r="I3" s="2" t="inlineStr"/>
      <c r="J3" s="2" t="inlineStr">
        <is>
          <t>待评审</t>
        </is>
      </c>
      <c r="K3" s="2" t="inlineStr"/>
    </row>
    <row r="4" ht="36" customHeight="1">
      <c r="A4" s="2" t="inlineStr">
        <is>
          <t>RISK-03</t>
        </is>
      </c>
      <c r="B4" s="2" t="inlineStr">
        <is>
          <t>关闭与普通写交错</t>
        </is>
      </c>
      <c r="C4" s="2" t="inlineStr"/>
      <c r="D4" s="2" t="inlineStr"/>
      <c r="E4" s="2" t="inlineStr"/>
      <c r="F4" s="2">
        <f>IF(COUNT(C4:E4)=3,PRODUCT(C4:E4),"")</f>
        <v/>
      </c>
      <c r="G4" s="2" t="inlineStr">
        <is>
          <t>P0</t>
        </is>
      </c>
      <c r="H4" s="2" t="inlineStr"/>
      <c r="I4" s="2" t="inlineStr"/>
      <c r="J4" s="2" t="inlineStr">
        <is>
          <t>待评审</t>
        </is>
      </c>
      <c r="K4" s="2" t="inlineStr"/>
    </row>
    <row r="5" ht="36" customHeight="1">
      <c r="A5" s="2" t="inlineStr">
        <is>
          <t>RISK-04</t>
        </is>
      </c>
      <c r="B5" s="2" t="inlineStr">
        <is>
          <t>LEVELING顺序不确定</t>
        </is>
      </c>
      <c r="C5" s="2" t="inlineStr"/>
      <c r="D5" s="2" t="inlineStr"/>
      <c r="E5" s="2" t="inlineStr"/>
      <c r="F5" s="2">
        <f>IF(COUNT(C5:E5)=3,PRODUCT(C5:E5),"")</f>
        <v/>
      </c>
      <c r="G5" s="2" t="inlineStr">
        <is>
          <t>P0</t>
        </is>
      </c>
      <c r="H5" s="2" t="inlineStr"/>
      <c r="I5" s="2" t="inlineStr"/>
      <c r="J5" s="2" t="inlineStr">
        <is>
          <t>待评审</t>
        </is>
      </c>
      <c r="K5" s="2" t="inlineStr"/>
    </row>
    <row r="6" ht="36" customHeight="1">
      <c r="A6" s="2" t="inlineStr">
        <is>
          <t>RISK-05</t>
        </is>
      </c>
      <c r="B6" s="2" t="inlineStr">
        <is>
          <t>重复收费或丢账单</t>
        </is>
      </c>
      <c r="C6" s="2" t="inlineStr"/>
      <c r="D6" s="2" t="inlineStr"/>
      <c r="E6" s="2" t="inlineStr"/>
      <c r="F6" s="2">
        <f>IF(COUNT(C6:E6)=3,PRODUCT(C6:E6),"")</f>
        <v/>
      </c>
      <c r="G6" s="2" t="inlineStr">
        <is>
          <t>P0</t>
        </is>
      </c>
      <c r="H6" s="2" t="inlineStr"/>
      <c r="I6" s="2" t="inlineStr"/>
      <c r="J6" s="2" t="inlineStr">
        <is>
          <t>待评审</t>
        </is>
      </c>
      <c r="K6" s="2" t="inlineStr"/>
    </row>
    <row r="7" ht="36" customHeight="1">
      <c r="A7" s="2" t="inlineStr">
        <is>
          <t>RISK-06</t>
        </is>
      </c>
      <c r="B7" s="2" t="inlineStr">
        <is>
          <t>对象越权和成绩泄露</t>
        </is>
      </c>
      <c r="C7" s="2" t="inlineStr"/>
      <c r="D7" s="2" t="inlineStr"/>
      <c r="E7" s="2" t="inlineStr"/>
      <c r="F7" s="2">
        <f>IF(COUNT(C7:E7)=3,PRODUCT(C7:E7),"")</f>
        <v/>
      </c>
      <c r="G7" s="2" t="inlineStr">
        <is>
          <t>P0</t>
        </is>
      </c>
      <c r="H7" s="2" t="inlineStr"/>
      <c r="I7" s="2" t="inlineStr"/>
      <c r="J7" s="2" t="inlineStr">
        <is>
          <t>待评审</t>
        </is>
      </c>
      <c r="K7" s="2" t="inlineStr"/>
    </row>
    <row r="8" ht="36" customHeight="1">
      <c r="A8" s="2" t="inlineStr">
        <is>
          <t>RISK-07</t>
        </is>
      </c>
      <c r="B8" s="2" t="inlineStr">
        <is>
          <t>旧版本覆盖</t>
        </is>
      </c>
      <c r="C8" s="2" t="inlineStr"/>
      <c r="D8" s="2" t="inlineStr"/>
      <c r="E8" s="2" t="inlineStr"/>
      <c r="F8" s="2">
        <f>IF(COUNT(C8:E8)=3,PRODUCT(C8:E8),"")</f>
        <v/>
      </c>
      <c r="G8" s="2" t="inlineStr">
        <is>
          <t>P0</t>
        </is>
      </c>
      <c r="H8" s="2" t="inlineStr"/>
      <c r="I8" s="2" t="inlineStr"/>
      <c r="J8" s="2" t="inlineStr">
        <is>
          <t>待评审</t>
        </is>
      </c>
      <c r="K8" s="2" t="inlineStr"/>
    </row>
    <row r="9" ht="36" customHeight="1">
      <c r="A9" s="2" t="inlineStr">
        <is>
          <t>RISK-08</t>
        </is>
      </c>
      <c r="B9" s="2" t="inlineStr">
        <is>
          <t>删除破坏历史</t>
        </is>
      </c>
      <c r="C9" s="2" t="inlineStr"/>
      <c r="D9" s="2" t="inlineStr"/>
      <c r="E9" s="2" t="inlineStr"/>
      <c r="F9" s="2">
        <f>IF(COUNT(C9:E9)=3,PRODUCT(C9:E9),"")</f>
        <v/>
      </c>
      <c r="G9" s="2" t="inlineStr">
        <is>
          <t>P0</t>
        </is>
      </c>
      <c r="H9" s="2" t="inlineStr"/>
      <c r="I9" s="2" t="inlineStr"/>
      <c r="J9" s="2" t="inlineStr">
        <is>
          <t>待评审</t>
        </is>
      </c>
      <c r="K9" s="2" t="inlineStr"/>
    </row>
    <row r="10" ht="36" customHeight="1">
      <c r="A10" s="2" t="inlineStr">
        <is>
          <t>RISK-09</t>
        </is>
      </c>
      <c r="B10" s="2" t="inlineStr">
        <is>
          <t>目录故障或缓存混用</t>
        </is>
      </c>
      <c r="C10" s="2" t="inlineStr"/>
      <c r="D10" s="2" t="inlineStr"/>
      <c r="E10" s="2" t="inlineStr"/>
      <c r="F10" s="2">
        <f>IF(COUNT(C10:E10)=3,PRODUCT(C10:E10),"")</f>
        <v/>
      </c>
      <c r="G10" s="2" t="inlineStr">
        <is>
          <t>P0</t>
        </is>
      </c>
      <c r="H10" s="2" t="inlineStr"/>
      <c r="I10" s="2" t="inlineStr"/>
      <c r="J10" s="2" t="inlineStr">
        <is>
          <t>待评审</t>
        </is>
      </c>
      <c r="K10" s="2" t="inlineStr"/>
    </row>
    <row r="11" ht="36" customHeight="1">
      <c r="A11" s="2" t="inlineStr">
        <is>
          <t>RISK-10</t>
        </is>
      </c>
      <c r="B11" s="2" t="inlineStr">
        <is>
          <t>负载数据耗尽/发生器饱和</t>
        </is>
      </c>
      <c r="C11" s="2" t="inlineStr"/>
      <c r="D11" s="2" t="inlineStr"/>
      <c r="E11" s="2" t="inlineStr"/>
      <c r="F11" s="2">
        <f>IF(COUNT(C11:E11)=3,PRODUCT(C11:E11),"")</f>
        <v/>
      </c>
      <c r="G11" s="2" t="inlineStr">
        <is>
          <t>P1</t>
        </is>
      </c>
      <c r="H11" s="2" t="inlineStr"/>
      <c r="I11" s="2" t="inlineStr"/>
      <c r="J11" s="2" t="inlineStr">
        <is>
          <t>待评审</t>
        </is>
      </c>
      <c r="K11" s="2" t="inlineStr"/>
    </row>
    <row r="12" ht="36" customHeight="1">
      <c r="A12" s="2" t="inlineStr">
        <is>
          <t>RISK-11</t>
        </is>
      </c>
      <c r="B12" s="2" t="inlineStr">
        <is>
          <t>七天观测不足</t>
        </is>
      </c>
      <c r="C12" s="2" t="inlineStr"/>
      <c r="D12" s="2" t="inlineStr"/>
      <c r="E12" s="2" t="inlineStr"/>
      <c r="F12" s="2">
        <f>IF(COUNT(C12:E12)=3,PRODUCT(C12:E12),"")</f>
        <v/>
      </c>
      <c r="G12" s="2" t="inlineStr">
        <is>
          <t>P1</t>
        </is>
      </c>
      <c r="H12" s="2" t="inlineStr"/>
      <c r="I12" s="2" t="inlineStr"/>
      <c r="J12" s="2" t="inlineStr">
        <is>
          <t>待评审</t>
        </is>
      </c>
      <c r="K12" s="2" t="inlineStr"/>
    </row>
    <row r="13" ht="36" customHeight="1">
      <c r="A13" s="2" t="inlineStr">
        <is>
          <t>RISK-12</t>
        </is>
      </c>
      <c r="B13" s="2" t="inlineStr">
        <is>
          <t>Mock丢失回执</t>
        </is>
      </c>
      <c r="C13" s="2" t="inlineStr"/>
      <c r="D13" s="2" t="inlineStr"/>
      <c r="E13" s="2" t="inlineStr"/>
      <c r="F13" s="2">
        <f>IF(COUNT(C13:E13)=3,PRODUCT(C13:E13),"")</f>
        <v/>
      </c>
      <c r="G13" s="2" t="inlineStr">
        <is>
          <t>P1</t>
        </is>
      </c>
      <c r="H13" s="2" t="inlineStr"/>
      <c r="I13" s="2" t="inlineStr"/>
      <c r="J13" s="2" t="inlineStr">
        <is>
          <t>待评审</t>
        </is>
      </c>
      <c r="K13" s="2" t="inlineStr"/>
    </row>
    <row r="14" ht="36" customHeight="1">
      <c r="A14" s="2" t="inlineStr">
        <is>
          <t>RISK-13</t>
        </is>
      </c>
      <c r="B14" s="2" t="inlineStr">
        <is>
          <t>CI flaky掩盖失败</t>
        </is>
      </c>
      <c r="C14" s="2" t="inlineStr"/>
      <c r="D14" s="2" t="inlineStr"/>
      <c r="E14" s="2" t="inlineStr"/>
      <c r="F14" s="2">
        <f>IF(COUNT(C14:E14)=3,PRODUCT(C14:E14),"")</f>
        <v/>
      </c>
      <c r="G14" s="2" t="inlineStr">
        <is>
          <t>P1</t>
        </is>
      </c>
      <c r="H14" s="2" t="inlineStr"/>
      <c r="I14" s="2" t="inlineStr"/>
      <c r="J14" s="2" t="inlineStr">
        <is>
          <t>待评审</t>
        </is>
      </c>
      <c r="K14" s="2" t="inlineStr"/>
    </row>
    <row r="15" ht="36" customHeight="1">
      <c r="A15" s="2" t="inlineStr">
        <is>
          <t>RISK-14</t>
        </is>
      </c>
      <c r="B15" s="2" t="inlineStr">
        <is>
          <t>接口/DDL漂移</t>
        </is>
      </c>
      <c r="C15" s="2" t="inlineStr"/>
      <c r="D15" s="2" t="inlineStr"/>
      <c r="E15" s="2" t="inlineStr"/>
      <c r="F15" s="2">
        <f>IF(COUNT(C15:E15)=3,PRODUCT(C15:E15),"")</f>
        <v/>
      </c>
      <c r="G15" s="2" t="inlineStr">
        <is>
          <t>P1</t>
        </is>
      </c>
      <c r="H15" s="2" t="inlineStr"/>
      <c r="I15" s="2" t="inlineStr"/>
      <c r="J15" s="2" t="inlineStr">
        <is>
          <t>待评审</t>
        </is>
      </c>
      <c r="K15" s="2" t="inlineStr"/>
    </row>
  </sheetData>
  <autoFilter ref="A1:K15"/>
  <printOptions horizontalCentered="1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80" customWidth="1" min="3" max="3"/>
  </cols>
  <sheetData>
    <row r="1" ht="30" customHeight="1">
      <c r="A1" s="1" t="inlineStr">
        <is>
          <t>章节</t>
        </is>
      </c>
      <c r="B1" s="1" t="inlineStr">
        <is>
          <t>必须填写内容</t>
        </is>
      </c>
      <c r="C1" s="1" t="inlineStr">
        <is>
          <t>实际内容/证据</t>
        </is>
      </c>
    </row>
    <row r="2" ht="36" customHeight="1">
      <c r="A2" s="2" t="inlineStr">
        <is>
          <t>1</t>
        </is>
      </c>
      <c r="B2" s="2" t="inlineStr">
        <is>
          <t>执行摘要和实际版本</t>
        </is>
      </c>
      <c r="C2" s="2" t="inlineStr"/>
    </row>
    <row r="3" ht="36" customHeight="1">
      <c r="A3" s="2" t="inlineStr">
        <is>
          <t>2</t>
        </is>
      </c>
      <c r="B3" s="2" t="inlineStr">
        <is>
          <t>范围及变更</t>
        </is>
      </c>
      <c r="C3" s="2" t="inlineStr"/>
    </row>
    <row r="4" ht="36" customHeight="1">
      <c r="A4" s="2" t="inlineStr">
        <is>
          <t>3</t>
        </is>
      </c>
      <c r="B4" s="2" t="inlineStr">
        <is>
          <t>环境与fixture</t>
        </is>
      </c>
      <c r="C4" s="2" t="inlineStr"/>
    </row>
    <row r="5" ht="36" customHeight="1">
      <c r="A5" s="2" t="inlineStr">
        <is>
          <t>4</t>
        </is>
      </c>
      <c r="B5" s="2" t="inlineStr">
        <is>
          <t>执行覆盖及参数化完整性</t>
        </is>
      </c>
      <c r="C5" s="2" t="inlineStr"/>
    </row>
    <row r="6" ht="36" customHeight="1">
      <c r="A6" s="2" t="inlineStr">
        <is>
          <t>5</t>
        </is>
      </c>
      <c r="B6" s="2" t="inlineStr">
        <is>
          <t>功能/契约/数据库/安全结果</t>
        </is>
      </c>
      <c r="C6" s="2" t="inlineStr"/>
    </row>
    <row r="7" ht="36" customHeight="1">
      <c r="A7" s="2" t="inlineStr">
        <is>
          <t>6</t>
        </is>
      </c>
      <c r="B7" s="2" t="inlineStr">
        <is>
          <t>并发/关闭/计费恢复结果</t>
        </is>
      </c>
      <c r="C7" s="2" t="inlineStr"/>
    </row>
    <row r="8" ht="36" customHeight="1">
      <c r="A8" s="2" t="inlineStr">
        <is>
          <t>7</t>
        </is>
      </c>
      <c r="B8" s="2" t="inlineStr">
        <is>
          <t>浏览器兼容</t>
        </is>
      </c>
      <c r="C8" s="2" t="inlineStr"/>
    </row>
    <row r="9" ht="36" customHeight="1">
      <c r="A9" s="2" t="inlineStr">
        <is>
          <t>8</t>
        </is>
      </c>
      <c r="B9" s="2" t="inlineStr">
        <is>
          <t>性能实际值和目标缺口</t>
        </is>
      </c>
      <c r="C9" s="2" t="inlineStr"/>
    </row>
    <row r="10" ht="36" customHeight="1">
      <c r="A10" s="2" t="inlineStr">
        <is>
          <t>9</t>
        </is>
      </c>
      <c r="B10" s="2" t="inlineStr">
        <is>
          <t>可用性窗口/覆盖/上下界</t>
        </is>
      </c>
      <c r="C10" s="2" t="inlineStr"/>
    </row>
    <row r="11" ht="36" customHeight="1">
      <c r="A11" s="2" t="inlineStr">
        <is>
          <t>10</t>
        </is>
      </c>
      <c r="B11" s="2" t="inlineStr">
        <is>
          <t>缺陷与遗留风险</t>
        </is>
      </c>
      <c r="C11" s="2" t="inlineStr"/>
    </row>
    <row r="12" ht="36" customHeight="1">
      <c r="A12" s="2" t="inlineStr">
        <is>
          <t>11</t>
        </is>
      </c>
      <c r="B12" s="2" t="inlineStr">
        <is>
          <t>一致性巡检和对账</t>
        </is>
      </c>
      <c r="C12" s="2" t="inlineStr"/>
    </row>
    <row r="13" ht="36" customHeight="1">
      <c r="A13" s="2" t="inlineStr">
        <is>
          <t>12</t>
        </is>
      </c>
      <c r="B13" s="2" t="inlineStr">
        <is>
          <t>放行建议与限制</t>
        </is>
      </c>
      <c r="C13" s="2" t="inlineStr"/>
    </row>
    <row r="14" ht="36" customHeight="1">
      <c r="A14" s="2" t="inlineStr">
        <is>
          <t>13</t>
        </is>
      </c>
      <c r="B14" s="2" t="inlineStr">
        <is>
          <t>证据索引及核验签名</t>
        </is>
      </c>
      <c r="C14" s="2" t="inlineStr"/>
    </row>
  </sheetData>
  <autoFilter ref="A1:C14"/>
  <printOptions horizontalCentered="1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1" customWidth="1" min="6" max="6"/>
    <col width="19.2" customWidth="1" min="7" max="7"/>
    <col width="18" customWidth="1" min="8" max="8"/>
  </cols>
  <sheetData>
    <row r="1">
      <c r="A1" s="3" t="inlineStr">
        <is>
          <t>套件</t>
        </is>
      </c>
      <c r="B1" s="3" t="inlineStr">
        <is>
          <t>场景</t>
        </is>
      </c>
      <c r="C1" s="3" t="inlineStr">
        <is>
          <t>标题</t>
        </is>
      </c>
      <c r="D1" s="3" t="inlineStr">
        <is>
          <t>结果</t>
        </is>
      </c>
      <c r="E1" s="3" t="inlineStr">
        <is>
          <t>关联计划用例</t>
        </is>
      </c>
      <c r="F1" s="3" t="inlineStr">
        <is>
          <t>证据</t>
        </is>
      </c>
      <c r="G1" s="3" t="inlineStr">
        <is>
          <t>实际执行时间</t>
        </is>
      </c>
      <c r="H1" s="3" t="inlineStr">
        <is>
          <t>执行性质</t>
        </is>
      </c>
    </row>
    <row r="2">
      <c r="A2" s="4" t="inlineStr">
        <is>
          <t>integration</t>
        </is>
      </c>
      <c r="B2" s="4" t="inlineStr">
        <is>
          <t>TC-AUTH-001</t>
        </is>
      </c>
      <c r="C2" s="4" t="inlineStr">
        <is>
          <t>三角色登录</t>
        </is>
      </c>
      <c r="D2" s="4" t="inlineStr">
        <is>
          <t>PASS</t>
        </is>
      </c>
      <c r="E2" s="4" t="inlineStr">
        <is>
          <t>TC-AUTH-001</t>
        </is>
      </c>
      <c r="F2" s="4" t="inlineStr">
        <is>
          <t>验收证据/integration.json</t>
        </is>
      </c>
      <c r="G2" s="4" t="inlineStr">
        <is>
          <t>2026-10-06T16:45:13.806207+00:00</t>
        </is>
      </c>
      <c r="H2" s="4" t="inlineStr">
        <is>
          <t>自动执行；非人工验收</t>
        </is>
      </c>
    </row>
    <row r="3">
      <c r="A3" s="4" t="inlineStr">
        <is>
          <t>integration</t>
        </is>
      </c>
      <c r="B3" s="4" t="inlineStr">
        <is>
          <t>TC-AUTH-002</t>
        </is>
      </c>
      <c r="C3" s="4" t="inlineStr">
        <is>
          <t>错误凭据拒绝</t>
        </is>
      </c>
      <c r="D3" s="4" t="inlineStr">
        <is>
          <t>PASS</t>
        </is>
      </c>
      <c r="E3" s="4" t="inlineStr">
        <is>
          <t>TC-AUTH-002</t>
        </is>
      </c>
      <c r="F3" s="4" t="inlineStr">
        <is>
          <t>验收证据/integration.json</t>
        </is>
      </c>
      <c r="G3" s="4" t="inlineStr">
        <is>
          <t>2026-10-06T16:45:13.806207+00:00</t>
        </is>
      </c>
      <c r="H3" s="4" t="inlineStr">
        <is>
          <t>自动执行；非人工验收</t>
        </is>
      </c>
    </row>
    <row r="4">
      <c r="A4" s="4" t="inlineStr">
        <is>
          <t>integration</t>
        </is>
      </c>
      <c r="B4" s="4" t="inlineStr">
        <is>
          <t>TC-SEC-002</t>
        </is>
      </c>
      <c r="C4" s="4" t="inlineStr">
        <is>
          <t>真实CSRF过滤链拒绝</t>
        </is>
      </c>
      <c r="D4" s="4" t="inlineStr">
        <is>
          <t>PASS</t>
        </is>
      </c>
      <c r="E4" s="4" t="inlineStr">
        <is>
          <t>TC-SEC-002</t>
        </is>
      </c>
      <c r="F4" s="4" t="inlineStr">
        <is>
          <t>验收证据/integration.json</t>
        </is>
      </c>
      <c r="G4" s="4" t="inlineStr">
        <is>
          <t>2026-10-06T16:45:13.806207+00:00</t>
        </is>
      </c>
      <c r="H4" s="4" t="inlineStr">
        <is>
          <t>自动执行；非人工验收</t>
        </is>
      </c>
    </row>
    <row r="5">
      <c r="A5" s="4" t="inlineStr">
        <is>
          <t>integration</t>
        </is>
      </c>
      <c r="B5" s="4" t="inlineStr">
        <is>
          <t>TC-SEC-001</t>
        </is>
      </c>
      <c r="C5" s="4" t="inlineStr">
        <is>
          <t>角色越权拒绝</t>
        </is>
      </c>
      <c r="D5" s="4" t="inlineStr">
        <is>
          <t>PASS</t>
        </is>
      </c>
      <c r="E5" s="4" t="inlineStr">
        <is>
          <t>TC-SEC-001</t>
        </is>
      </c>
      <c r="F5" s="4" t="inlineStr">
        <is>
          <t>验收证据/integration.json</t>
        </is>
      </c>
      <c r="G5" s="4" t="inlineStr">
        <is>
          <t>2026-10-06T16:45:13.806207+00:00</t>
        </is>
      </c>
      <c r="H5" s="4" t="inlineStr">
        <is>
          <t>自动执行；非人工验收</t>
        </is>
      </c>
    </row>
    <row r="6">
      <c r="A6" s="4" t="inlineStr">
        <is>
          <t>integration</t>
        </is>
      </c>
      <c r="B6" s="4" t="inlineStr">
        <is>
          <t>TC-CAT-001</t>
        </is>
      </c>
      <c r="C6" s="4" t="inlineStr">
        <is>
          <t>冻结目录字段和ID字符串</t>
        </is>
      </c>
      <c r="D6" s="4" t="inlineStr">
        <is>
          <t>PASS</t>
        </is>
      </c>
      <c r="E6" s="4" t="inlineStr">
        <is>
          <t>TC-CAT-001</t>
        </is>
      </c>
      <c r="F6" s="4" t="inlineStr">
        <is>
          <t>验收证据/integration.json</t>
        </is>
      </c>
      <c r="G6" s="4" t="inlineStr">
        <is>
          <t>2026-10-06T16:45:13.806207+00:00</t>
        </is>
      </c>
      <c r="H6" s="4" t="inlineStr">
        <is>
          <t>自动执行；非人工验收</t>
        </is>
      </c>
    </row>
    <row r="7">
      <c r="A7" s="4" t="inlineStr">
        <is>
          <t>integration</t>
        </is>
      </c>
      <c r="B7" s="4" t="inlineStr">
        <is>
          <t>TC-API-003</t>
        </is>
      </c>
      <c r="C7" s="4" t="inlineStr">
        <is>
          <t>分页及非法排序</t>
        </is>
      </c>
      <c r="D7" s="4" t="inlineStr">
        <is>
          <t>PASS</t>
        </is>
      </c>
      <c r="E7" s="4" t="inlineStr">
        <is>
          <t>TC-API-003</t>
        </is>
      </c>
      <c r="F7" s="4" t="inlineStr">
        <is>
          <t>验收证据/integration.json</t>
        </is>
      </c>
      <c r="G7" s="4" t="inlineStr">
        <is>
          <t>2026-10-06T16:45:13.806207+00:00</t>
        </is>
      </c>
      <c r="H7" s="4" t="inlineStr">
        <is>
          <t>自动执行；非人工验收</t>
        </is>
      </c>
    </row>
    <row r="8">
      <c r="A8" s="4" t="inlineStr">
        <is>
          <t>integration</t>
        </is>
      </c>
      <c r="B8" s="4" t="inlineStr">
        <is>
          <t>TC-REG-001</t>
        </is>
      </c>
      <c r="C8" s="4" t="inlineStr">
        <is>
          <t>草稿不占名额</t>
        </is>
      </c>
      <c r="D8" s="4" t="inlineStr">
        <is>
          <t>PASS</t>
        </is>
      </c>
      <c r="E8" s="4" t="inlineStr">
        <is>
          <t>TC-REG-001</t>
        </is>
      </c>
      <c r="F8" s="4" t="inlineStr">
        <is>
          <t>验收证据/integration.json</t>
        </is>
      </c>
      <c r="G8" s="4" t="inlineStr">
        <is>
          <t>2026-10-06T16:45:13.806207+00:00</t>
        </is>
      </c>
      <c r="H8" s="4" t="inlineStr">
        <is>
          <t>自动执行；非人工验收</t>
        </is>
      </c>
    </row>
    <row r="9">
      <c r="A9" s="4" t="inlineStr">
        <is>
          <t>integration</t>
        </is>
      </c>
      <c r="B9" s="4" t="inlineStr">
        <is>
          <t>TC-REG-003</t>
        </is>
      </c>
      <c r="C9" s="4" t="inlineStr">
        <is>
          <t>首次4+2正式提交</t>
        </is>
      </c>
      <c r="D9" s="4" t="inlineStr">
        <is>
          <t>PASS</t>
        </is>
      </c>
      <c r="E9" s="4" t="inlineStr">
        <is>
          <t>TC-REG-003</t>
        </is>
      </c>
      <c r="F9" s="4" t="inlineStr">
        <is>
          <t>验收证据/integration.json</t>
        </is>
      </c>
      <c r="G9" s="4" t="inlineStr">
        <is>
          <t>2026-10-06T16:45:13.806207+00:00</t>
        </is>
      </c>
      <c r="H9" s="4" t="inlineStr">
        <is>
          <t>自动执行；非人工验收</t>
        </is>
      </c>
    </row>
    <row r="10">
      <c r="A10" s="4" t="inlineStr">
        <is>
          <t>integration</t>
        </is>
      </c>
      <c r="B10" s="4" t="inlineStr">
        <is>
          <t>TC-REG-016</t>
        </is>
      </c>
      <c r="C10" s="4" t="inlineStr">
        <is>
          <t>成功重放与异体冲突</t>
        </is>
      </c>
      <c r="D10" s="4" t="inlineStr">
        <is>
          <t>PASS</t>
        </is>
      </c>
      <c r="E10" s="4" t="inlineStr">
        <is>
          <t>TC-REG-016</t>
        </is>
      </c>
      <c r="F10" s="4" t="inlineStr">
        <is>
          <t>验收证据/integration.json</t>
        </is>
      </c>
      <c r="G10" s="4" t="inlineStr">
        <is>
          <t>2026-10-06T16:45:13.806207+00:00</t>
        </is>
      </c>
      <c r="H10" s="4" t="inlineStr">
        <is>
          <t>自动执行；非人工验收</t>
        </is>
      </c>
    </row>
    <row r="11">
      <c r="A11" s="4" t="inlineStr">
        <is>
          <t>integration</t>
        </is>
      </c>
      <c r="B11" s="4" t="inlineStr">
        <is>
          <t>TC-REG-015</t>
        </is>
      </c>
      <c r="C11" s="4" t="inlineStr">
        <is>
          <t>旧版本拒绝</t>
        </is>
      </c>
      <c r="D11" s="4" t="inlineStr">
        <is>
          <t>PASS</t>
        </is>
      </c>
      <c r="E11" s="4" t="inlineStr">
        <is>
          <t>TC-REG-015</t>
        </is>
      </c>
      <c r="F11" s="4" t="inlineStr">
        <is>
          <t>验收证据/integration.json</t>
        </is>
      </c>
      <c r="G11" s="4" t="inlineStr">
        <is>
          <t>2026-10-06T16:45:13.806207+00:00</t>
        </is>
      </c>
      <c r="H11" s="4" t="inlineStr">
        <is>
          <t>自动执行；非人工验收</t>
        </is>
      </c>
    </row>
    <row r="12">
      <c r="A12" s="4" t="inlineStr">
        <is>
          <t>integration</t>
        </is>
      </c>
      <c r="B12" s="4" t="inlineStr">
        <is>
          <t>TC-REG-006</t>
        </is>
      </c>
      <c r="C12" s="4" t="inlineStr">
        <is>
          <t>先修F拒绝且全量回滚</t>
        </is>
      </c>
      <c r="D12" s="4" t="inlineStr">
        <is>
          <t>PASS</t>
        </is>
      </c>
      <c r="E12" s="4" t="inlineStr">
        <is>
          <t>TC-REG-006</t>
        </is>
      </c>
      <c r="F12" s="4" t="inlineStr">
        <is>
          <t>验收证据/integration.json</t>
        </is>
      </c>
      <c r="G12" s="4" t="inlineStr">
        <is>
          <t>2026-10-06T16:45:13.806207+00:00</t>
        </is>
      </c>
      <c r="H12" s="4" t="inlineStr">
        <is>
          <t>自动执行；非人工验收</t>
        </is>
      </c>
    </row>
    <row r="13">
      <c r="A13" s="4" t="inlineStr">
        <is>
          <t>integration</t>
        </is>
      </c>
      <c r="B13" s="4" t="inlineStr">
        <is>
          <t>TC-CON-001</t>
        </is>
      </c>
      <c r="C13" s="4" t="inlineStr">
        <is>
          <t>真实MySQL最后一席竞争</t>
        </is>
      </c>
      <c r="D13" s="4" t="inlineStr">
        <is>
          <t>PASS</t>
        </is>
      </c>
      <c r="E13" s="4" t="inlineStr">
        <is>
          <t>TC-CON-001</t>
        </is>
      </c>
      <c r="F13" s="4" t="inlineStr">
        <is>
          <t>验收证据/integration.json</t>
        </is>
      </c>
      <c r="G13" s="4" t="inlineStr">
        <is>
          <t>2026-10-06T16:45:13.806207+00:00</t>
        </is>
      </c>
      <c r="H13" s="4" t="inlineStr">
        <is>
          <t>自动执行；非人工验收</t>
        </is>
      </c>
    </row>
    <row r="14">
      <c r="A14" s="4" t="inlineStr">
        <is>
          <t>integration</t>
        </is>
      </c>
      <c r="B14" s="4" t="inlineStr">
        <is>
          <t>TC-DB-008</t>
        </is>
      </c>
      <c r="C14" s="4" t="inlineStr">
        <is>
          <t>占位后异常全部回滚</t>
        </is>
      </c>
      <c r="D14" s="4" t="inlineStr">
        <is>
          <t>PASS</t>
        </is>
      </c>
      <c r="E14" s="4" t="inlineStr">
        <is>
          <t>TC-DB-008</t>
        </is>
      </c>
      <c r="F14" s="4" t="inlineStr">
        <is>
          <t>验收证据/integration.json</t>
        </is>
      </c>
      <c r="G14" s="4" t="inlineStr">
        <is>
          <t>2026-10-06T16:45:13.806207+00:00</t>
        </is>
      </c>
      <c r="H14" s="4" t="inlineStr">
        <is>
          <t>自动执行；非人工验收</t>
        </is>
      </c>
    </row>
    <row r="15">
      <c r="A15" s="4" t="inlineStr">
        <is>
          <t>integration</t>
        </is>
      </c>
      <c r="B15" s="4" t="inlineStr">
        <is>
          <t>TC-GRADE-001</t>
        </is>
      </c>
      <c r="C15" s="4" t="inlineStr">
        <is>
          <t>历史名单合法成绩保存</t>
        </is>
      </c>
      <c r="D15" s="4" t="inlineStr">
        <is>
          <t>PASS</t>
        </is>
      </c>
      <c r="E15" s="4" t="inlineStr">
        <is>
          <t>TC-GRADE-001</t>
        </is>
      </c>
      <c r="F15" s="4" t="inlineStr">
        <is>
          <t>验收证据/integration.json</t>
        </is>
      </c>
      <c r="G15" s="4" t="inlineStr">
        <is>
          <t>2026-10-06T16:45:13.806207+00:00</t>
        </is>
      </c>
      <c r="H15" s="4" t="inlineStr">
        <is>
          <t>自动执行；非人工验收</t>
        </is>
      </c>
    </row>
    <row r="16">
      <c r="A16" s="4" t="inlineStr">
        <is>
          <t>integration</t>
        </is>
      </c>
      <c r="B16" s="4" t="inlineStr">
        <is>
          <t>TC-GRADE-003</t>
        </is>
      </c>
      <c r="C16" s="4" t="inlineStr">
        <is>
          <t>null不清除已有成绩</t>
        </is>
      </c>
      <c r="D16" s="4" t="inlineStr">
        <is>
          <t>PASS</t>
        </is>
      </c>
      <c r="E16" s="4" t="inlineStr">
        <is>
          <t>TC-GRADE-003</t>
        </is>
      </c>
      <c r="F16" s="4" t="inlineStr">
        <is>
          <t>验收证据/integration.json</t>
        </is>
      </c>
      <c r="G16" s="4" t="inlineStr">
        <is>
          <t>2026-10-06T16:45:13.806207+00:00</t>
        </is>
      </c>
      <c r="H16" s="4" t="inlineStr">
        <is>
          <t>自动执行；非人工验收</t>
        </is>
      </c>
    </row>
    <row r="17">
      <c r="A17" s="4" t="inlineStr">
        <is>
          <t>integration</t>
        </is>
      </c>
      <c r="B17" s="4" t="inlineStr">
        <is>
          <t>TC-GRADE-002</t>
        </is>
      </c>
      <c r="C17" s="4" t="inlineStr">
        <is>
          <t>非法成绩整批拒绝</t>
        </is>
      </c>
      <c r="D17" s="4" t="inlineStr">
        <is>
          <t>PASS</t>
        </is>
      </c>
      <c r="E17" s="4" t="inlineStr">
        <is>
          <t>TC-GRADE-002</t>
        </is>
      </c>
      <c r="F17" s="4" t="inlineStr">
        <is>
          <t>验收证据/integration.json</t>
        </is>
      </c>
      <c r="G17" s="4" t="inlineStr">
        <is>
          <t>2026-10-06T16:45:13.806207+00:00</t>
        </is>
      </c>
      <c r="H17" s="4" t="inlineStr">
        <is>
          <t>自动执行；非人工验收</t>
        </is>
      </c>
    </row>
    <row r="18">
      <c r="A18" s="4" t="inlineStr">
        <is>
          <t>integration</t>
        </is>
      </c>
      <c r="B18" s="4" t="inlineStr">
        <is>
          <t>TC-PEOPLE-001</t>
        </is>
      </c>
      <c r="C18" s="4" t="inlineStr">
        <is>
          <t>人员账号原子创建</t>
        </is>
      </c>
      <c r="D18" s="4" t="inlineStr">
        <is>
          <t>PASS</t>
        </is>
      </c>
      <c r="E18" s="4" t="inlineStr">
        <is>
          <t>TC-PEOPLE-001</t>
        </is>
      </c>
      <c r="F18" s="4" t="inlineStr">
        <is>
          <t>验收证据/integration.json</t>
        </is>
      </c>
      <c r="G18" s="4" t="inlineStr">
        <is>
          <t>2026-10-06T16:45:13.806207+00:00</t>
        </is>
      </c>
      <c r="H18" s="4" t="inlineStr">
        <is>
          <t>自动执行；非人工验收</t>
        </is>
      </c>
    </row>
    <row r="19">
      <c r="A19" s="4" t="inlineStr">
        <is>
          <t>integration</t>
        </is>
      </c>
      <c r="B19" s="4" t="inlineStr">
        <is>
          <t>TC-PEOPLE-004</t>
        </is>
      </c>
      <c r="C19" s="4" t="inlineStr">
        <is>
          <t>当前关联拒绝删除</t>
        </is>
      </c>
      <c r="D19" s="4" t="inlineStr">
        <is>
          <t>PASS</t>
        </is>
      </c>
      <c r="E19" s="4" t="inlineStr">
        <is>
          <t>TC-PEOPLE-004</t>
        </is>
      </c>
      <c r="F19" s="4" t="inlineStr">
        <is>
          <t>验收证据/integration.json</t>
        </is>
      </c>
      <c r="G19" s="4" t="inlineStr">
        <is>
          <t>2026-10-06T16:45:13.806207+00:00</t>
        </is>
      </c>
      <c r="H19" s="4" t="inlineStr">
        <is>
          <t>自动执行；非人工验收</t>
        </is>
      </c>
    </row>
    <row r="20">
      <c r="A20" s="4" t="inlineStr">
        <is>
          <t>integration</t>
        </is>
      </c>
      <c r="B20" s="4" t="inlineStr">
        <is>
          <t>TC-REG-RECREATE</t>
        </is>
      </c>
      <c r="C20" s="4" t="inlineStr">
        <is>
          <t>删除、草稿、重建仍须首次4+2</t>
        </is>
      </c>
      <c r="D20" s="4" t="inlineStr">
        <is>
          <t>PASS</t>
        </is>
      </c>
      <c r="E20" s="4" t="inlineStr"/>
      <c r="F20" s="4" t="inlineStr">
        <is>
          <t>验收证据/integration.json</t>
        </is>
      </c>
      <c r="G20" s="4" t="inlineStr">
        <is>
          <t>2026-10-06T16:45:13.806207+00:00</t>
        </is>
      </c>
      <c r="H20" s="4" t="inlineStr">
        <is>
          <t>自动执行；非人工验收</t>
        </is>
      </c>
    </row>
    <row r="21">
      <c r="A21" s="4" t="inlineStr">
        <is>
          <t>integration</t>
        </is>
      </c>
      <c r="B21" s="4" t="inlineStr">
        <is>
          <t>TC-API-INTEGER</t>
        </is>
      </c>
      <c r="C21" s="4" t="inlineStr">
        <is>
          <t>版本和选择顺序拒绝小数</t>
        </is>
      </c>
      <c r="D21" s="4" t="inlineStr">
        <is>
          <t>PASS</t>
        </is>
      </c>
      <c r="E21" s="4" t="inlineStr"/>
      <c r="F21" s="4" t="inlineStr">
        <is>
          <t>验收证据/integration.json</t>
        </is>
      </c>
      <c r="G21" s="4" t="inlineStr">
        <is>
          <t>2026-10-06T16:45:13.806207+00:00</t>
        </is>
      </c>
      <c r="H21" s="4" t="inlineStr">
        <is>
          <t>自动执行；非人工验收</t>
        </is>
      </c>
    </row>
    <row r="22">
      <c r="A22" s="4" t="inlineStr">
        <is>
          <t>integration</t>
        </is>
      </c>
      <c r="B22" s="4" t="inlineStr">
        <is>
          <t>TC-TEACH-ATOMIC</t>
        </is>
      </c>
      <c r="C22" s="4" t="inlineStr">
        <is>
          <t>授课集合原子修改与其他教师占用拒绝</t>
        </is>
      </c>
      <c r="D22" s="4" t="inlineStr">
        <is>
          <t>PASS</t>
        </is>
      </c>
      <c r="E22" s="4" t="inlineStr"/>
      <c r="F22" s="4" t="inlineStr">
        <is>
          <t>验收证据/integration.json</t>
        </is>
      </c>
      <c r="G22" s="4" t="inlineStr">
        <is>
          <t>2026-10-06T16:45:13.806207+00:00</t>
        </is>
      </c>
      <c r="H22" s="4" t="inlineStr">
        <is>
          <t>自动执行；非人工验收</t>
        </is>
      </c>
    </row>
    <row r="23">
      <c r="A23" s="4" t="inlineStr">
        <is>
          <t>integration</t>
        </is>
      </c>
      <c r="B23" s="4" t="inlineStr">
        <is>
          <t>TC-GRADE-ROLLBACK</t>
        </is>
      </c>
      <c r="C23" s="4" t="inlineStr">
        <is>
          <t>成绩批量中途失败回滚</t>
        </is>
      </c>
      <c r="D23" s="4" t="inlineStr">
        <is>
          <t>PASS</t>
        </is>
      </c>
      <c r="E23" s="4" t="inlineStr"/>
      <c r="F23" s="4" t="inlineStr">
        <is>
          <t>验收证据/integration.json</t>
        </is>
      </c>
      <c r="G23" s="4" t="inlineStr">
        <is>
          <t>2026-10-06T16:45:13.806207+00:00</t>
        </is>
      </c>
      <c r="H23" s="4" t="inlineStr">
        <is>
          <t>自动执行；非人工验收</t>
        </is>
      </c>
    </row>
    <row r="24">
      <c r="A24" s="4" t="inlineStr">
        <is>
          <t>integration</t>
        </is>
      </c>
      <c r="B24" s="4" t="inlineStr">
        <is>
          <t>TC-CON-006</t>
        </is>
      </c>
      <c r="C24" s="4" t="inlineStr">
        <is>
          <t>普通写持锁时关闭任务BLOCKED_BUSY</t>
        </is>
      </c>
      <c r="D24" s="4" t="inlineStr">
        <is>
          <t>PASS</t>
        </is>
      </c>
      <c r="E24" s="4" t="inlineStr">
        <is>
          <t>TC-CON-006</t>
        </is>
      </c>
      <c r="F24" s="4" t="inlineStr">
        <is>
          <t>验收证据/integration.json</t>
        </is>
      </c>
      <c r="G24" s="4" t="inlineStr">
        <is>
          <t>2026-10-06T16:45:13.806207+00:00</t>
        </is>
      </c>
      <c r="H24" s="4" t="inlineStr">
        <is>
          <t>自动执行；非人工验收</t>
        </is>
      </c>
    </row>
    <row r="25">
      <c r="A25" s="4" t="inlineStr">
        <is>
          <t>integration</t>
        </is>
      </c>
      <c r="B25" s="4" t="inlineStr">
        <is>
          <t>TC-CLOSE-010</t>
        </is>
      </c>
      <c r="C25" s="4" t="inlineStr">
        <is>
          <t>本地关闭失败业务全部回滚</t>
        </is>
      </c>
      <c r="D25" s="4" t="inlineStr">
        <is>
          <t>PASS</t>
        </is>
      </c>
      <c r="E25" s="4" t="inlineStr">
        <is>
          <t>TC-CLOSE-010</t>
        </is>
      </c>
      <c r="F25" s="4" t="inlineStr">
        <is>
          <t>验收证据/integration.json</t>
        </is>
      </c>
      <c r="G25" s="4" t="inlineStr">
        <is>
          <t>2026-10-06T16:45:13.806207+00:00</t>
        </is>
      </c>
      <c r="H25" s="4" t="inlineStr">
        <is>
          <t>自动执行；非人工验收</t>
        </is>
      </c>
    </row>
    <row r="26">
      <c r="A26" s="4" t="inlineStr">
        <is>
          <t>integration</t>
        </is>
      </c>
      <c r="B26" s="4" t="inlineStr">
        <is>
          <t>TC-CLOSE-001</t>
        </is>
      </c>
      <c r="C26" s="4" t="inlineStr">
        <is>
          <t>本地原子关闭和最终不变量</t>
        </is>
      </c>
      <c r="D26" s="4" t="inlineStr">
        <is>
          <t>PASS</t>
        </is>
      </c>
      <c r="E26" s="4" t="inlineStr">
        <is>
          <t>TC-CLOSE-001</t>
        </is>
      </c>
      <c r="F26" s="4" t="inlineStr">
        <is>
          <t>验收证据/integration.json</t>
        </is>
      </c>
      <c r="G26" s="4" t="inlineStr">
        <is>
          <t>2026-10-06T16:45:13.806207+00:00</t>
        </is>
      </c>
      <c r="H26" s="4" t="inlineStr">
        <is>
          <t>自动执行；非人工验收</t>
        </is>
      </c>
    </row>
    <row r="27">
      <c r="A27" s="4" t="inlineStr">
        <is>
          <t>integration</t>
        </is>
      </c>
      <c r="B27" s="4" t="inlineStr">
        <is>
          <t>TC-BILL-003</t>
        </is>
      </c>
      <c r="C27" s="4" t="inlineStr">
        <is>
          <t>远端接收丢响应持久去重</t>
        </is>
      </c>
      <c r="D27" s="4" t="inlineStr">
        <is>
          <t>PASS</t>
        </is>
      </c>
      <c r="E27" s="4" t="inlineStr">
        <is>
          <t>TC-BILL-003</t>
        </is>
      </c>
      <c r="F27" s="4" t="inlineStr">
        <is>
          <t>验收证据/integration.json</t>
        </is>
      </c>
      <c r="G27" s="4" t="inlineStr">
        <is>
          <t>2026-10-06T16:45:13.806207+00:00</t>
        </is>
      </c>
      <c r="H27" s="4" t="inlineStr">
        <is>
          <t>自动执行；非人工验收</t>
        </is>
      </c>
    </row>
    <row r="28">
      <c r="A28" s="4" t="inlineStr">
        <is>
          <t>integration</t>
        </is>
      </c>
      <c r="B28" s="4" t="inlineStr">
        <is>
          <t>TC-GRADE-007</t>
        </is>
      </c>
      <c r="C28" s="4" t="inlineStr">
        <is>
          <t>关闭后仍可历史评分</t>
        </is>
      </c>
      <c r="D28" s="4" t="inlineStr">
        <is>
          <t>PASS</t>
        </is>
      </c>
      <c r="E28" s="4" t="inlineStr">
        <is>
          <t>TC-GRADE-007</t>
        </is>
      </c>
      <c r="F28" s="4" t="inlineStr">
        <is>
          <t>验收证据/integration.json</t>
        </is>
      </c>
      <c r="G28" s="4" t="inlineStr">
        <is>
          <t>2026-10-06T16:45:13.806207+00:00</t>
        </is>
      </c>
      <c r="H28" s="4" t="inlineStr">
        <is>
          <t>自动执行；非人工验收</t>
        </is>
      </c>
    </row>
    <row r="29">
      <c r="A29" s="4" t="inlineStr">
        <is>
          <t>integration</t>
        </is>
      </c>
      <c r="B29" s="4" t="inlineStr">
        <is>
          <t>TC-REG-014</t>
        </is>
      </c>
      <c r="C29" s="4" t="inlineStr">
        <is>
          <t>关闭后正式写拒绝</t>
        </is>
      </c>
      <c r="D29" s="4" t="inlineStr">
        <is>
          <t>PASS</t>
        </is>
      </c>
      <c r="E29" s="4" t="inlineStr">
        <is>
          <t>TC-REG-014</t>
        </is>
      </c>
      <c r="F29" s="4" t="inlineStr">
        <is>
          <t>验收证据/integration.json</t>
        </is>
      </c>
      <c r="G29" s="4" t="inlineStr">
        <is>
          <t>2026-10-06T16:45:13.806207+00:00</t>
        </is>
      </c>
      <c r="H29" s="4" t="inlineStr">
        <is>
          <t>自动执行；非人工验收</t>
        </is>
      </c>
    </row>
    <row r="30">
      <c r="A30" s="4" t="inlineStr">
        <is>
          <t>integration</t>
        </is>
      </c>
      <c r="B30" s="4" t="inlineStr">
        <is>
          <t>TC-AUTH-003</t>
        </is>
      </c>
      <c r="C30" s="4" t="inlineStr">
        <is>
          <t>退出后会话失效</t>
        </is>
      </c>
      <c r="D30" s="4" t="inlineStr">
        <is>
          <t>PASS</t>
        </is>
      </c>
      <c r="E30" s="4" t="inlineStr">
        <is>
          <t>TC-AUTH-003</t>
        </is>
      </c>
      <c r="F30" s="4" t="inlineStr">
        <is>
          <t>验收证据/integration.json</t>
        </is>
      </c>
      <c r="G30" s="4" t="inlineStr">
        <is>
          <t>2026-10-06T16:45:13.806207+00:00</t>
        </is>
      </c>
      <c r="H30" s="4" t="inlineStr">
        <is>
          <t>自动执行；非人工验收</t>
        </is>
      </c>
    </row>
    <row r="31">
      <c r="A31" s="4" t="inlineStr">
        <is>
          <t>acceptance</t>
        </is>
      </c>
      <c r="B31" s="4" t="inlineStr">
        <is>
          <t>A01</t>
        </is>
      </c>
      <c r="C31" s="4" t="inlineStr">
        <is>
          <t>错误、未知及空凭据</t>
        </is>
      </c>
      <c r="D31" s="4" t="inlineStr">
        <is>
          <t>PASS</t>
        </is>
      </c>
      <c r="E31" s="4" t="inlineStr">
        <is>
          <t>TC-AUTH-002</t>
        </is>
      </c>
      <c r="F31" s="4" t="inlineStr">
        <is>
          <t>验收证据/acceptance.json</t>
        </is>
      </c>
      <c r="G31" s="4" t="inlineStr">
        <is>
          <t>2026-10-06T16:45:38.735388+00:00</t>
        </is>
      </c>
      <c r="H31" s="4" t="inlineStr">
        <is>
          <t>自动执行；非人工验收</t>
        </is>
      </c>
    </row>
    <row r="32">
      <c r="A32" s="4" t="inlineStr">
        <is>
          <t>acceptance</t>
        </is>
      </c>
      <c r="B32" s="4" t="inlineStr">
        <is>
          <t>A02</t>
        </is>
      </c>
      <c r="C32" s="4" t="inlineStr">
        <is>
          <t>跨角色和历史班访问拒绝</t>
        </is>
      </c>
      <c r="D32" s="4" t="inlineStr">
        <is>
          <t>PASS</t>
        </is>
      </c>
      <c r="E32" s="4" t="inlineStr">
        <is>
          <t>TC-SEC-001,TC-GRADE-008,TC-PRIV-001</t>
        </is>
      </c>
      <c r="F32" s="4" t="inlineStr">
        <is>
          <t>验收证据/acceptance.json</t>
        </is>
      </c>
      <c r="G32" s="4" t="inlineStr">
        <is>
          <t>2026-10-06T16:45:38.735388+00:00</t>
        </is>
      </c>
      <c r="H32" s="4" t="inlineStr">
        <is>
          <t>自动执行；非人工验收</t>
        </is>
      </c>
    </row>
    <row r="33">
      <c r="A33" s="4" t="inlineStr">
        <is>
          <t>acceptance</t>
        </is>
      </c>
      <c r="B33" s="4" t="inlineStr">
        <is>
          <t>A03</t>
        </is>
      </c>
      <c r="C33" s="4" t="inlineStr">
        <is>
          <t>版本输入类型边界</t>
        </is>
      </c>
      <c r="D33" s="4" t="inlineStr">
        <is>
          <t>PASS</t>
        </is>
      </c>
      <c r="E33" s="4" t="inlineStr">
        <is>
          <t>TC-API-006</t>
        </is>
      </c>
      <c r="F33" s="4" t="inlineStr">
        <is>
          <t>验收证据/acceptance.json</t>
        </is>
      </c>
      <c r="G33" s="4" t="inlineStr">
        <is>
          <t>2026-10-06T16:45:38.735388+00:00</t>
        </is>
      </c>
      <c r="H33" s="4" t="inlineStr">
        <is>
          <t>自动执行；非人工验收</t>
        </is>
      </c>
    </row>
    <row r="34">
      <c r="A34" s="4" t="inlineStr">
        <is>
          <t>acceptance</t>
        </is>
      </c>
      <c r="B34" s="4" t="inlineStr">
        <is>
          <t>A04</t>
        </is>
      </c>
      <c r="C34" s="4" t="inlineStr">
        <is>
          <t>首次数量和重复班/课程</t>
        </is>
      </c>
      <c r="D34" s="4" t="inlineStr">
        <is>
          <t>PASS</t>
        </is>
      </c>
      <c r="E34" s="4" t="inlineStr">
        <is>
          <t>TC-REG-002,TC-REG-004,TC-REG-009</t>
        </is>
      </c>
      <c r="F34" s="4" t="inlineStr">
        <is>
          <t>验收证据/acceptance.json</t>
        </is>
      </c>
      <c r="G34" s="4" t="inlineStr">
        <is>
          <t>2026-10-06T16:45:38.735388+00:00</t>
        </is>
      </c>
      <c r="H34" s="4" t="inlineStr">
        <is>
          <t>自动执行；非人工验收</t>
        </is>
      </c>
    </row>
    <row r="35">
      <c r="A35" s="4" t="inlineStr">
        <is>
          <t>acceptance</t>
        </is>
      </c>
      <c r="B35" s="4" t="inlineStr">
        <is>
          <t>A05</t>
        </is>
      </c>
      <c r="C35" s="4" t="inlineStr">
        <is>
          <t>F/I/未录入先修</t>
        </is>
      </c>
      <c r="D35" s="4" t="inlineStr">
        <is>
          <t>PASS</t>
        </is>
      </c>
      <c r="E35" s="4" t="inlineStr">
        <is>
          <t>TC-REG-006,TC-REG-007</t>
        </is>
      </c>
      <c r="F35" s="4" t="inlineStr">
        <is>
          <t>验收证据/acceptance.json</t>
        </is>
      </c>
      <c r="G35" s="4" t="inlineStr">
        <is>
          <t>2026-10-06T16:45:38.735388+00:00</t>
        </is>
      </c>
      <c r="H35" s="4" t="inlineStr">
        <is>
          <t>自动执行；非人工验收</t>
        </is>
      </c>
    </row>
    <row r="36">
      <c r="A36" s="4" t="inlineStr">
        <is>
          <t>acceptance</t>
        </is>
      </c>
      <c r="B36" s="4" t="inlineStr">
        <is>
          <t>A06</t>
        </is>
      </c>
      <c r="C36" s="4" t="inlineStr">
        <is>
          <t>六种成绩与旧版本</t>
        </is>
      </c>
      <c r="D36" s="4" t="inlineStr">
        <is>
          <t>PASS</t>
        </is>
      </c>
      <c r="E36" s="4" t="inlineStr">
        <is>
          <t>TC-GRADE-001,TC-GRADE-005</t>
        </is>
      </c>
      <c r="F36" s="4" t="inlineStr">
        <is>
          <t>验收证据/acceptance.json</t>
        </is>
      </c>
      <c r="G36" s="4" t="inlineStr">
        <is>
          <t>2026-10-06T16:45:38.735388+00:00</t>
        </is>
      </c>
      <c r="H36" s="4" t="inlineStr">
        <is>
          <t>自动执行；非人工验收</t>
        </is>
      </c>
    </row>
    <row r="37">
      <c r="A37" s="4" t="inlineStr">
        <is>
          <t>acceptance</t>
        </is>
      </c>
      <c r="B37" s="4" t="inlineStr">
        <is>
          <t>A07</t>
        </is>
      </c>
      <c r="C37" s="4" t="inlineStr">
        <is>
          <t>后项非法整批不提交</t>
        </is>
      </c>
      <c r="D37" s="4" t="inlineStr">
        <is>
          <t>PASS</t>
        </is>
      </c>
      <c r="E37" s="4" t="inlineStr">
        <is>
          <t>TC-GRADE-002</t>
        </is>
      </c>
      <c r="F37" s="4" t="inlineStr">
        <is>
          <t>验收证据/acceptance.json</t>
        </is>
      </c>
      <c r="G37" s="4" t="inlineStr">
        <is>
          <t>2026-10-06T16:45:38.735388+00:00</t>
        </is>
      </c>
      <c r="H37" s="4" t="inlineStr">
        <is>
          <t>自动执行；非人工验收</t>
        </is>
      </c>
    </row>
    <row r="38">
      <c r="A38" s="4" t="inlineStr">
        <is>
          <t>acceptance</t>
        </is>
      </c>
      <c r="B38" s="4" t="inlineStr">
        <is>
          <t>A08</t>
        </is>
      </c>
      <c r="C38" s="4" t="inlineStr">
        <is>
          <t>两种人员更新/旧版本/SSN重复</t>
        </is>
      </c>
      <c r="D38" s="4" t="inlineStr">
        <is>
          <t>PASS</t>
        </is>
      </c>
      <c r="E38" s="4" t="inlineStr">
        <is>
          <t>TC-PEOPLE-001,TC-PEOPLE-002,TC-PEOPLE-010</t>
        </is>
      </c>
      <c r="F38" s="4" t="inlineStr">
        <is>
          <t>验收证据/acceptance.json</t>
        </is>
      </c>
      <c r="G38" s="4" t="inlineStr">
        <is>
          <t>2026-10-06T16:45:38.735388+00:00</t>
        </is>
      </c>
      <c r="H38" s="4" t="inlineStr">
        <is>
          <t>自动执行；非人工验收</t>
        </is>
      </c>
    </row>
    <row r="39">
      <c r="A39" s="4" t="inlineStr">
        <is>
          <t>acceptance</t>
        </is>
      </c>
      <c r="B39" s="4" t="inlineStr">
        <is>
          <t>A09</t>
        </is>
      </c>
      <c r="C39" s="4" t="inlineStr">
        <is>
          <t>人员字段非法变体</t>
        </is>
      </c>
      <c r="D39" s="4" t="inlineStr">
        <is>
          <t>PASS</t>
        </is>
      </c>
      <c r="E39" s="4" t="inlineStr">
        <is>
          <t>TC-PEOPLE-008,TC-PEOPLE-009,TC-PEOPLE-010,TC-PEOPLE-011</t>
        </is>
      </c>
      <c r="F39" s="4" t="inlineStr">
        <is>
          <t>验收证据/acceptance.json</t>
        </is>
      </c>
      <c r="G39" s="4" t="inlineStr">
        <is>
          <t>2026-10-06T16:45:38.735388+00:00</t>
        </is>
      </c>
      <c r="H39" s="4" t="inlineStr">
        <is>
          <t>自动执行；非人工验收</t>
        </is>
      </c>
    </row>
    <row r="40">
      <c r="A40" s="4" t="inlineStr">
        <is>
          <t>acceptance</t>
        </is>
      </c>
      <c r="B40" s="4" t="inlineStr">
        <is>
          <t>A10</t>
        </is>
      </c>
      <c r="C40" s="4" t="inlineStr">
        <is>
          <t>重置密码撤销全部旧会话</t>
        </is>
      </c>
      <c r="D40" s="4" t="inlineStr">
        <is>
          <t>PASS</t>
        </is>
      </c>
      <c r="E40" s="4" t="inlineStr">
        <is>
          <t>TC-AUTH-006,TC-PEOPLE-013</t>
        </is>
      </c>
      <c r="F40" s="4" t="inlineStr">
        <is>
          <t>验收证据/acceptance.json</t>
        </is>
      </c>
      <c r="G40" s="4" t="inlineStr">
        <is>
          <t>2026-10-06T16:45:38.735388+00:00</t>
        </is>
      </c>
      <c r="H40" s="4" t="inlineStr">
        <is>
          <t>自动执行；非人工验收</t>
        </is>
      </c>
    </row>
    <row r="41">
      <c r="A41" s="4" t="inlineStr">
        <is>
          <t>acceptance</t>
        </is>
      </c>
      <c r="B41" s="4" t="inlineStr">
        <is>
          <t>A11</t>
        </is>
      </c>
      <c r="C41" s="4" t="inlineStr">
        <is>
          <t>删除保留历史且禁用会话</t>
        </is>
      </c>
      <c r="D41" s="4" t="inlineStr">
        <is>
          <t>PASS</t>
        </is>
      </c>
      <c r="E41" s="4" t="inlineStr">
        <is>
          <t>TC-PEOPLE-003,TC-PEOPLE-013</t>
        </is>
      </c>
      <c r="F41" s="4" t="inlineStr">
        <is>
          <t>验收证据/acceptance.json</t>
        </is>
      </c>
      <c r="G41" s="4" t="inlineStr">
        <is>
          <t>2026-10-06T16:45:38.735388+00:00</t>
        </is>
      </c>
      <c r="H41" s="4" t="inlineStr">
        <is>
          <t>自动执行；非人工验收</t>
        </is>
      </c>
    </row>
    <row r="42">
      <c r="A42" s="4" t="inlineStr">
        <is>
          <t>acceptance</t>
        </is>
      </c>
      <c r="B42" s="4" t="inlineStr">
        <is>
          <t>A12</t>
        </is>
      </c>
      <c r="C42" s="4" t="inlineStr">
        <is>
          <t>人员创建中途失败回滚</t>
        </is>
      </c>
      <c r="D42" s="4" t="inlineStr">
        <is>
          <t>PASS</t>
        </is>
      </c>
      <c r="E42" s="4" t="inlineStr">
        <is>
          <t>TC-PEOPLE-007,TC-DB-004</t>
        </is>
      </c>
      <c r="F42" s="4" t="inlineStr">
        <is>
          <t>验收证据/acceptance.json</t>
        </is>
      </c>
      <c r="G42" s="4" t="inlineStr">
        <is>
          <t>2026-10-06T16:45:38.735388+00:00</t>
        </is>
      </c>
      <c r="H42" s="4" t="inlineStr">
        <is>
          <t>自动执行；非人工验收</t>
        </is>
      </c>
    </row>
    <row r="43">
      <c r="A43" s="4" t="inlineStr">
        <is>
          <t>acceptance</t>
        </is>
      </c>
      <c r="B43" s="4" t="inlineStr">
        <is>
          <t>A13</t>
        </is>
      </c>
      <c r="C43" s="4" t="inlineStr">
        <is>
          <t>目录源故障与十秒预算</t>
        </is>
      </c>
      <c r="D43" s="4" t="inlineStr">
        <is>
          <t>PASS</t>
        </is>
      </c>
      <c r="E43" s="4" t="inlineStr">
        <is>
          <t>TC-CAT-004,TC-CAT-005</t>
        </is>
      </c>
      <c r="F43" s="4" t="inlineStr">
        <is>
          <t>验收证据/acceptance.json</t>
        </is>
      </c>
      <c r="G43" s="4" t="inlineStr">
        <is>
          <t>2026-10-06T16:45:38.735388+00:00</t>
        </is>
      </c>
      <c r="H43" s="4" t="inlineStr">
        <is>
          <t>自动执行；非人工验收</t>
        </is>
      </c>
    </row>
    <row r="44">
      <c r="A44" s="4" t="inlineStr">
        <is>
          <t>acceptance</t>
        </is>
      </c>
      <c r="B44" s="4" t="inlineStr">
        <is>
          <t>A14</t>
        </is>
      </c>
      <c r="C44" s="4" t="inlineStr">
        <is>
          <t>1212班SQL分页与过滤</t>
        </is>
      </c>
      <c r="D44" s="4" t="inlineStr">
        <is>
          <t>PASS</t>
        </is>
      </c>
      <c r="E44" s="4" t="inlineStr">
        <is>
          <t>TC-CAT-002,TC-API-003</t>
        </is>
      </c>
      <c r="F44" s="4" t="inlineStr">
        <is>
          <t>验收证据/acceptance.json</t>
        </is>
      </c>
      <c r="G44" s="4" t="inlineStr">
        <is>
          <t>2026-10-06T16:45:38.735388+00:00</t>
        </is>
      </c>
      <c r="H44" s="4" t="inlineStr">
        <is>
          <t>自动执行；非人工验收</t>
        </is>
      </c>
    </row>
    <row r="45">
      <c r="A45" s="4" t="inlineStr">
        <is>
          <t>browser</t>
        </is>
      </c>
      <c r="B45" s="4" t="inlineStr">
        <is>
          <t>BROWSER-1</t>
        </is>
      </c>
      <c r="C45" s="4" t="inlineStr">
        <is>
          <t>学生浏览器登录、远程搜索与课程目录</t>
        </is>
      </c>
      <c r="D45" s="4" t="inlineStr">
        <is>
          <t>PASS</t>
        </is>
      </c>
      <c r="E45" s="4" t="inlineStr">
        <is>
          <t>TC-AUTH-001,TC-CAT-001</t>
        </is>
      </c>
      <c r="F45" s="4" t="inlineStr">
        <is>
          <t>验收证据/browser.json</t>
        </is>
      </c>
      <c r="G45" s="4" t="inlineStr">
        <is>
          <t>2026-10-06T16:57:56.747Z</t>
        </is>
      </c>
      <c r="H45" s="4" t="inlineStr">
        <is>
          <t>自动执行；非人工验收</t>
        </is>
      </c>
    </row>
    <row r="46">
      <c r="A46" s="4" t="inlineStr">
        <is>
          <t>browser</t>
        </is>
      </c>
      <c r="B46" s="4" t="inlineStr">
        <is>
          <t>BROWSER-2</t>
        </is>
      </c>
      <c r="C46" s="4" t="inlineStr">
        <is>
          <t>浏览器保存4+2草稿，刷新后恢复</t>
        </is>
      </c>
      <c r="D46" s="4" t="inlineStr">
        <is>
          <t>PASS</t>
        </is>
      </c>
      <c r="E46" s="4" t="inlineStr">
        <is>
          <t>TC-REG-001,TC-UI-002</t>
        </is>
      </c>
      <c r="F46" s="4" t="inlineStr">
        <is>
          <t>验收证据/browser.json</t>
        </is>
      </c>
      <c r="G46" s="4" t="inlineStr">
        <is>
          <t>2026-10-06T16:57:56.747Z</t>
        </is>
      </c>
      <c r="H46" s="4" t="inlineStr">
        <is>
          <t>自动执行；非人工验收</t>
        </is>
      </c>
    </row>
    <row r="47">
      <c r="A47" s="4" t="inlineStr">
        <is>
          <t>browser</t>
        </is>
      </c>
      <c r="B47" s="4" t="inlineStr">
        <is>
          <t>BROWSER-3</t>
        </is>
      </c>
      <c r="C47" s="4" t="inlineStr">
        <is>
          <t>浏览器正式提交，草稿调整不修改正式课表</t>
        </is>
      </c>
      <c r="D47" s="4" t="inlineStr">
        <is>
          <t>PASS</t>
        </is>
      </c>
      <c r="E47" s="4" t="inlineStr">
        <is>
          <t>TC-REG-003,TC-REG-013</t>
        </is>
      </c>
      <c r="F47" s="4" t="inlineStr">
        <is>
          <t>验收证据/browser.json</t>
        </is>
      </c>
      <c r="G47" s="4" t="inlineStr">
        <is>
          <t>2026-10-06T16:57:56.747Z</t>
        </is>
      </c>
      <c r="H47" s="4" t="inlineStr">
        <is>
          <t>自动执行；非人工验收</t>
        </is>
      </c>
    </row>
    <row r="48">
      <c r="A48" s="4" t="inlineStr">
        <is>
          <t>browser</t>
        </is>
      </c>
      <c r="B48" s="4" t="inlineStr">
        <is>
          <t>BROWSER-4</t>
        </is>
      </c>
      <c r="C48" s="4" t="inlineStr">
        <is>
          <t>学生成绩页面与服务器端角色拒绝</t>
        </is>
      </c>
      <c r="D48" s="4" t="inlineStr">
        <is>
          <t>PASS</t>
        </is>
      </c>
      <c r="E48" s="4" t="inlineStr">
        <is>
          <t>TC-GRADE-006,TC-SEC-001</t>
        </is>
      </c>
      <c r="F48" s="4" t="inlineStr">
        <is>
          <t>验收证据/browser.json</t>
        </is>
      </c>
      <c r="G48" s="4" t="inlineStr">
        <is>
          <t>2026-10-06T16:57:56.747Z</t>
        </is>
      </c>
      <c r="H48" s="4" t="inlineStr">
        <is>
          <t>自动执行；非人工验收</t>
        </is>
      </c>
    </row>
    <row r="49">
      <c r="A49" s="4" t="inlineStr">
        <is>
          <t>browser</t>
        </is>
      </c>
      <c r="B49" s="4" t="inlineStr">
        <is>
          <t>BROWSER-5</t>
        </is>
      </c>
      <c r="C49" s="4" t="inlineStr">
        <is>
          <t>教师授课页面、名单与成绩页面</t>
        </is>
      </c>
      <c r="D49" s="4" t="inlineStr">
        <is>
          <t>PASS</t>
        </is>
      </c>
      <c r="E49" s="4" t="inlineStr">
        <is>
          <t>TC-TEA-001,TC-GRADE-001</t>
        </is>
      </c>
      <c r="F49" s="4" t="inlineStr">
        <is>
          <t>验收证据/browser.json</t>
        </is>
      </c>
      <c r="G49" s="4" t="inlineStr">
        <is>
          <t>2026-10-06T16:57:56.747Z</t>
        </is>
      </c>
      <c r="H49" s="4" t="inlineStr">
        <is>
          <t>自动执行；非人工验收</t>
        </is>
      </c>
    </row>
    <row r="50">
      <c r="A50" s="4" t="inlineStr">
        <is>
          <t>browser</t>
        </is>
      </c>
      <c r="B50" s="4" t="inlineStr">
        <is>
          <t>BROWSER-6</t>
        </is>
      </c>
      <c r="C50" s="4" t="inlineStr">
        <is>
          <t>教务人员分页、SSN脱敏与搜索</t>
        </is>
      </c>
      <c r="D50" s="4" t="inlineStr">
        <is>
          <t>PASS</t>
        </is>
      </c>
      <c r="E50" s="4" t="inlineStr">
        <is>
          <t>TC-UI-006</t>
        </is>
      </c>
      <c r="F50" s="4" t="inlineStr">
        <is>
          <t>验收证据/browser.json</t>
        </is>
      </c>
      <c r="G50" s="4" t="inlineStr">
        <is>
          <t>2026-10-06T16:57:56.747Z</t>
        </is>
      </c>
      <c r="H50" s="4" t="inlineStr">
        <is>
          <t>自动执行；非人工验收</t>
        </is>
      </c>
    </row>
    <row r="51">
      <c r="A51" s="4" t="inlineStr">
        <is>
          <t>browser</t>
        </is>
      </c>
      <c r="B51" s="4" t="inlineStr">
        <is>
          <t>BROWSER-7</t>
        </is>
      </c>
      <c r="C51" s="4" t="inlineStr">
        <is>
          <t>关闭和计费页面、刷新路由、注销</t>
        </is>
      </c>
      <c r="D51" s="4" t="inlineStr">
        <is>
          <t>PASS</t>
        </is>
      </c>
      <c r="E51" s="4" t="inlineStr">
        <is>
          <t>TC-UI-009,TC-API-005</t>
        </is>
      </c>
      <c r="F51" s="4" t="inlineStr">
        <is>
          <t>验收证据/browser.json</t>
        </is>
      </c>
      <c r="G51" s="4" t="inlineStr">
        <is>
          <t>2026-10-06T16:57:56.747Z</t>
        </is>
      </c>
      <c r="H51" s="4" t="inlineStr">
        <is>
          <t>自动执行；非人工验收</t>
        </is>
      </c>
    </row>
    <row r="52">
      <c r="A52" s="4" t="inlineStr">
        <is>
          <t>browser</t>
        </is>
      </c>
      <c r="B52" s="4" t="inlineStr">
        <is>
          <t>BROWSER-8</t>
        </is>
      </c>
      <c r="C52" s="4" t="inlineStr">
        <is>
          <t>浏览器无未捕获脚本异常</t>
        </is>
      </c>
      <c r="D52" s="4" t="inlineStr">
        <is>
          <t>PASS</t>
        </is>
      </c>
      <c r="E52" s="4" t="inlineStr">
        <is>
          <t>TC-UI-001</t>
        </is>
      </c>
      <c r="F52" s="4" t="inlineStr">
        <is>
          <t>验收证据/browser.json</t>
        </is>
      </c>
      <c r="G52" s="4" t="inlineStr">
        <is>
          <t>2026-10-06T16:57:56.747Z</t>
        </is>
      </c>
      <c r="H52" s="4" t="inlineStr">
        <is>
          <t>自动执行；非人工验收</t>
        </is>
      </c>
    </row>
    <row r="53">
      <c r="A53" s="4" t="inlineStr">
        <is>
          <t>restart-recovery</t>
        </is>
      </c>
      <c r="B53" s="4" t="inlineStr">
        <is>
          <t>R01</t>
        </is>
      </c>
      <c r="C53" s="4" t="inlineStr">
        <is>
          <t>关闭提交前进程终止、原业务回滚及任务租约恢复</t>
        </is>
      </c>
      <c r="D53" s="4" t="inlineStr">
        <is>
          <t>PASS</t>
        </is>
      </c>
      <c r="E53" s="4" t="inlineStr">
        <is>
          <t>TC-OPS-009,TC-CLOSE-010</t>
        </is>
      </c>
      <c r="F53" s="4" t="inlineStr">
        <is>
          <t>验收证据/restart-recovery.json</t>
        </is>
      </c>
      <c r="G53" s="4" t="inlineStr">
        <is>
          <t>2026-10-06T16:55:33.690993+00:00</t>
        </is>
      </c>
      <c r="H53" s="4" t="inlineStr">
        <is>
          <t>自动执行；非人工验收</t>
        </is>
      </c>
    </row>
    <row r="54">
      <c r="A54" s="4" t="inlineStr">
        <is>
          <t>restart-recovery</t>
        </is>
      </c>
      <c r="B54" s="4" t="inlineStr">
        <is>
          <t>R02</t>
        </is>
      </c>
      <c r="C54" s="4" t="inlineStr">
        <is>
          <t>计费接收后确认前崩溃、双方重启、持久去重恢复</t>
        </is>
      </c>
      <c r="D54" s="4" t="inlineStr">
        <is>
          <t>PASS</t>
        </is>
      </c>
      <c r="E54" s="4" t="inlineStr">
        <is>
          <t>TC-OPS-004,TC-BILL-003,TC-BILL-004,TC-BILL-007</t>
        </is>
      </c>
      <c r="F54" s="4" t="inlineStr">
        <is>
          <t>验收证据/restart-recovery.json</t>
        </is>
      </c>
      <c r="G54" s="4" t="inlineStr">
        <is>
          <t>2026-10-06T16:55:33.690993+00:00</t>
        </is>
      </c>
      <c r="H54" s="4" t="inlineStr">
        <is>
          <t>自动执行；非人工验收</t>
        </is>
      </c>
    </row>
    <row r="55">
      <c r="A55" s="4" t="inlineStr">
        <is>
          <t>restart-recovery</t>
        </is>
      </c>
      <c r="B55" s="4" t="inlineStr">
        <is>
          <t>R03</t>
        </is>
      </c>
      <c r="C55" s="4" t="inlineStr">
        <is>
          <t>关闭完成重复请求不再结算</t>
        </is>
      </c>
      <c r="D55" s="4" t="inlineStr">
        <is>
          <t>PASS</t>
        </is>
      </c>
      <c r="E55" s="4" t="inlineStr">
        <is>
          <t>TC-CLOSE-009,TC-BILL-011</t>
        </is>
      </c>
      <c r="F55" s="4" t="inlineStr">
        <is>
          <t>验收证据/restart-recovery.json</t>
        </is>
      </c>
      <c r="G55" s="4" t="inlineStr">
        <is>
          <t>2026-10-06T16:55:33.690993+00:00</t>
        </is>
      </c>
      <c r="H55" s="4" t="inlineStr">
        <is>
          <t>自动执行；非人工验收</t>
        </is>
      </c>
    </row>
    <row r="56">
      <c r="A56" s="4" t="inlineStr">
        <is>
          <t>rehearsal</t>
        </is>
      </c>
      <c r="B56" s="4" t="inlineStr">
        <is>
          <t>B01</t>
        </is>
      </c>
      <c r="C56" s="4" t="inlineStr">
        <is>
          <t>学生从页面完成首次4+2提交</t>
        </is>
      </c>
      <c r="D56" s="4" t="inlineStr">
        <is>
          <t>PASS</t>
        </is>
      </c>
      <c r="E56" s="4" t="inlineStr">
        <is>
          <t>TC-REG-003,TC-UI-002</t>
        </is>
      </c>
      <c r="F56" s="4" t="inlineStr">
        <is>
          <t>验收证据/rehearsal.json</t>
        </is>
      </c>
      <c r="G56" s="4" t="inlineStr">
        <is>
          <t>2026-10-06T16:57:49.954Z</t>
        </is>
      </c>
      <c r="H56" s="4" t="inlineStr">
        <is>
          <t>自动执行；非人工验收</t>
        </is>
      </c>
    </row>
    <row r="57">
      <c r="A57" s="4" t="inlineStr">
        <is>
          <t>rehearsal</t>
        </is>
      </c>
      <c r="B57" s="4" t="inlineStr">
        <is>
          <t>B02</t>
        </is>
      </c>
      <c r="C57" s="4" t="inlineStr">
        <is>
          <t>教师成绩页面保存及切换前未保存保护</t>
        </is>
      </c>
      <c r="D57" s="4" t="inlineStr">
        <is>
          <t>PASS</t>
        </is>
      </c>
      <c r="E57" s="4" t="inlineStr">
        <is>
          <t>TC-GRADE-001,TC-UI-007</t>
        </is>
      </c>
      <c r="F57" s="4" t="inlineStr">
        <is>
          <t>验收证据/rehearsal.json</t>
        </is>
      </c>
      <c r="G57" s="4" t="inlineStr">
        <is>
          <t>2026-10-06T16:57:49.954Z</t>
        </is>
      </c>
      <c r="H57" s="4" t="inlineStr">
        <is>
          <t>自动执行；非人工验收</t>
        </is>
      </c>
    </row>
    <row r="58">
      <c r="A58" s="4" t="inlineStr">
        <is>
          <t>rehearsal</t>
        </is>
      </c>
      <c r="B58" s="4" t="inlineStr">
        <is>
          <t>B03</t>
        </is>
      </c>
      <c r="C58" s="4" t="inlineStr">
        <is>
          <t>教务新增人员及按行重置密码</t>
        </is>
      </c>
      <c r="D58" s="4" t="inlineStr">
        <is>
          <t>PASS</t>
        </is>
      </c>
      <c r="E58" s="4" t="inlineStr">
        <is>
          <t>TC-PEOPLE-001,TC-PEOPLE-013,TC-UI-006</t>
        </is>
      </c>
      <c r="F58" s="4" t="inlineStr">
        <is>
          <t>验收证据/rehearsal.json</t>
        </is>
      </c>
      <c r="G58" s="4" t="inlineStr">
        <is>
          <t>2026-10-06T16:57:49.954Z</t>
        </is>
      </c>
      <c r="H58" s="4" t="inlineStr">
        <is>
          <t>自动执行；非人工验收</t>
        </is>
      </c>
    </row>
    <row r="59">
      <c r="A59" s="4" t="inlineStr">
        <is>
          <t>rehearsal</t>
        </is>
      </c>
      <c r="B59" s="4" t="inlineStr">
        <is>
          <t>B04</t>
        </is>
      </c>
      <c r="C59" s="4" t="inlineStr">
        <is>
          <t>页面关闭注册直至全部计费回执确认</t>
        </is>
      </c>
      <c r="D59" s="4" t="inlineStr">
        <is>
          <t>PASS</t>
        </is>
      </c>
      <c r="E59" s="4" t="inlineStr">
        <is>
          <t>TC-CLOSE-001,TC-UI-009,TC-UI-005</t>
        </is>
      </c>
      <c r="F59" s="4" t="inlineStr">
        <is>
          <t>验收证据/rehearsal.json</t>
        </is>
      </c>
      <c r="G59" s="4" t="inlineStr">
        <is>
          <t>2026-10-06T16:57:49.954Z</t>
        </is>
      </c>
      <c r="H59" s="4" t="inlineStr">
        <is>
          <t>自动执行；非人工验收</t>
        </is>
      </c>
    </row>
    <row r="60">
      <c r="A60" s="4" t="inlineStr">
        <is>
          <t>rehearsal</t>
        </is>
      </c>
      <c r="B60" s="4" t="inlineStr">
        <is>
          <t>B05</t>
        </is>
      </c>
      <c r="C60" s="4" t="inlineStr">
        <is>
          <t>关闭后的学生页面只读及成绩查询</t>
        </is>
      </c>
      <c r="D60" s="4" t="inlineStr">
        <is>
          <t>PASS</t>
        </is>
      </c>
      <c r="E60" s="4" t="inlineStr">
        <is>
          <t>TC-REG-014,TC-GRADE-006</t>
        </is>
      </c>
      <c r="F60" s="4" t="inlineStr">
        <is>
          <t>验收证据/rehearsal.json</t>
        </is>
      </c>
      <c r="G60" s="4" t="inlineStr">
        <is>
          <t>2026-10-06T16:57:49.954Z</t>
        </is>
      </c>
      <c r="H60" s="4" t="inlineStr">
        <is>
          <t>自动执行；非人工验收</t>
        </is>
      </c>
    </row>
    <row r="61">
      <c r="A61" s="4" t="inlineStr">
        <is>
          <t>rehearsal</t>
        </is>
      </c>
      <c r="B61" s="4" t="inlineStr">
        <is>
          <t>B06</t>
        </is>
      </c>
      <c r="C61" s="4" t="inlineStr">
        <is>
          <t>正常演示库仍OPEN且无脚本异常</t>
        </is>
      </c>
      <c r="D61" s="4" t="inlineStr">
        <is>
          <t>PASS</t>
        </is>
      </c>
      <c r="E61" s="4" t="inlineStr">
        <is>
          <t>TC-CI-003</t>
        </is>
      </c>
      <c r="F61" s="4" t="inlineStr">
        <is>
          <t>验收证据/rehearsal.json</t>
        </is>
      </c>
      <c r="G61" s="4" t="inlineStr">
        <is>
          <t>2026-10-06T16:57:49.954Z</t>
        </is>
      </c>
      <c r="H61" s="4" t="inlineStr">
        <is>
          <t>自动执行；非人工验收</t>
        </is>
      </c>
    </row>
  </sheetData>
  <autoFilter ref="A1:H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.2" customWidth="1" min="2" max="2"/>
    <col width="19.8" customWidth="1" min="3" max="3"/>
    <col width="18" customWidth="1" min="4" max="4"/>
    <col width="70" customWidth="1" min="5" max="5"/>
    <col width="70" customWidth="1" min="6" max="6"/>
    <col width="18" customWidth="1" min="7" max="7"/>
  </cols>
  <sheetData>
    <row r="1">
      <c r="A1" s="3" t="inlineStr">
        <is>
          <t>需求</t>
        </is>
      </c>
      <c r="B1" s="3" t="inlineStr">
        <is>
          <t>含义</t>
        </is>
      </c>
      <c r="C1" s="3" t="inlineStr">
        <is>
          <t>模块</t>
        </is>
      </c>
      <c r="D1" s="3" t="inlineStr">
        <is>
          <t>状态</t>
        </is>
      </c>
      <c r="E1" s="3" t="inlineStr">
        <is>
          <t>场景</t>
        </is>
      </c>
      <c r="F1" s="3" t="inlineStr">
        <is>
          <t>计划用例</t>
        </is>
      </c>
      <c r="G1" s="3" t="inlineStr">
        <is>
          <t>人工复核</t>
        </is>
      </c>
    </row>
    <row r="2">
      <c r="A2" s="4" t="inlineStr">
        <is>
          <t>FR-01</t>
        </is>
      </c>
      <c r="B2" s="4" t="inlineStr">
        <is>
          <t>校验用户名和密码，成功建立登录状态，失败允许重试或取消</t>
        </is>
      </c>
      <c r="C2" s="4" t="inlineStr">
        <is>
          <t>auth</t>
        </is>
      </c>
      <c r="D2" s="4" t="inlineStr">
        <is>
          <t>有实现、部分自动场景通过；成员复核待完成</t>
        </is>
      </c>
      <c r="E2" s="4" t="inlineStr">
        <is>
          <t>A01,BROWSER-1,TC-AUTH-001,TC-AUTH-002</t>
        </is>
      </c>
      <c r="F2" s="4" t="inlineStr">
        <is>
          <t>TC-AUTH-001, TC-AUTH-002, TC-AUTH-007, TC-AUTH-008</t>
        </is>
      </c>
      <c r="G2" s="4" t="inlineStr">
        <is>
          <t>待成员填写签名/日期</t>
        </is>
      </c>
    </row>
    <row r="3">
      <c r="A3" s="4" t="inlineStr">
        <is>
          <t>FR-02</t>
        </is>
      </c>
      <c r="B3" s="4" t="inlineStr">
        <is>
          <t>根据角色展示可用导航，不因此替代服务端授权</t>
        </is>
      </c>
      <c r="C3" s="4" t="inlineStr">
        <is>
          <t>auth</t>
        </is>
      </c>
      <c r="D3" s="4" t="inlineStr">
        <is>
          <t>有实现、部分自动场景通过；成员复核待完成</t>
        </is>
      </c>
      <c r="E3" s="4" t="inlineStr">
        <is>
          <t>A02,BROWSER-1,BROWSER-4,BROWSER-8,TC-AUTH-001,TC-SEC-001</t>
        </is>
      </c>
      <c r="F3" s="4" t="inlineStr">
        <is>
          <t>TC-AUTH-001, TC-AUTH-008, TC-SEC-001, TC-UI-001</t>
        </is>
      </c>
      <c r="G3" s="4" t="inlineStr">
        <is>
          <t>待成员填写签名/日期</t>
        </is>
      </c>
    </row>
    <row r="4">
      <c r="A4" s="4" t="inlineStr">
        <is>
          <t>FR-03</t>
        </is>
      </c>
      <c r="B4" s="4" t="inlineStr">
        <is>
          <t>退出登录并使当前认证状态失效</t>
        </is>
      </c>
      <c r="C4" s="4" t="inlineStr">
        <is>
          <t>auth</t>
        </is>
      </c>
      <c r="D4" s="4" t="inlineStr">
        <is>
          <t>有实现、部分自动场景通过；成员复核待完成</t>
        </is>
      </c>
      <c r="E4" s="4" t="inlineStr">
        <is>
          <t>TC-AUTH-003</t>
        </is>
      </c>
      <c r="F4" s="4" t="inlineStr">
        <is>
          <t>TC-AUTH-003, TC-SEC-008</t>
        </is>
      </c>
      <c r="G4" s="4" t="inlineStr">
        <is>
          <t>待成员填写签名/日期</t>
        </is>
      </c>
    </row>
    <row r="5">
      <c r="A5" s="4" t="inlineStr">
        <is>
          <t>FR-04</t>
        </is>
      </c>
      <c r="B5" s="4" t="inlineStr">
        <is>
          <t>查询当前学期开课班及课程、院系、教师、时间和先修信息</t>
        </is>
      </c>
      <c r="C5" s="4" t="inlineStr">
        <is>
          <t>catalog</t>
        </is>
      </c>
      <c r="D5" s="4" t="inlineStr">
        <is>
          <t>有实现、部分自动场景通过；成员复核待完成</t>
        </is>
      </c>
      <c r="E5" s="4" t="inlineStr">
        <is>
          <t>A14,BROWSER-1,TC-API-003,TC-CAT-001</t>
        </is>
      </c>
      <c r="F5" s="4" t="inlineStr">
        <is>
          <t>TC-CAT-001, TC-CAT-002, TC-API-003</t>
        </is>
      </c>
      <c r="G5" s="4" t="inlineStr">
        <is>
          <t>待成员填写签名/日期</t>
        </is>
      </c>
    </row>
    <row r="6">
      <c r="A6" s="4" t="inlineStr">
        <is>
          <t>FR-05</t>
        </is>
      </c>
      <c r="B6" s="4" t="inlineStr">
        <is>
          <t>学生创建一份当前学期课表，区分主选与有序备选</t>
        </is>
      </c>
      <c r="C6" s="4" t="inlineStr">
        <is>
          <t>registration</t>
        </is>
      </c>
      <c r="D6" s="4" t="inlineStr">
        <is>
          <t>有实现、部分自动场景通过；成员复核待完成</t>
        </is>
      </c>
      <c r="E6" s="4" t="inlineStr">
        <is>
          <t>A04,BROWSER-2,TC-REG-001</t>
        </is>
      </c>
      <c r="F6" s="4" t="inlineStr">
        <is>
          <t>TC-REG-001, TC-REG-002, TC-REG-004</t>
        </is>
      </c>
      <c r="G6" s="4" t="inlineStr">
        <is>
          <t>待成员填写签名/日期</t>
        </is>
      </c>
    </row>
    <row r="7">
      <c r="A7" s="4" t="inlineStr">
        <is>
          <t>FR-06</t>
        </is>
      </c>
      <c r="B7" s="4" t="inlineStr">
        <is>
          <t>学生保存草稿，未正式加入班级的项目为 SELECTED</t>
        </is>
      </c>
      <c r="C7" s="4" t="inlineStr">
        <is>
          <t>registration</t>
        </is>
      </c>
      <c r="D7" s="4" t="inlineStr">
        <is>
          <t>有实现、部分自动场景通过；成员复核待完成</t>
        </is>
      </c>
      <c r="E7" s="4" t="inlineStr">
        <is>
          <t>A04,B01,BROWSER-2,BROWSER-3,TC-REG-001</t>
        </is>
      </c>
      <c r="F7" s="4" t="inlineStr">
        <is>
          <t>TC-REG-001, TC-REG-002, TC-REG-013, TC-UI-002</t>
        </is>
      </c>
      <c r="G7" s="4" t="inlineStr">
        <is>
          <t>待成员填写签名/日期</t>
        </is>
      </c>
    </row>
    <row r="8">
      <c r="A8" s="4" t="inlineStr">
        <is>
          <t>FR-07</t>
        </is>
      </c>
      <c r="B8" s="4" t="inlineStr">
        <is>
          <t>正式提交前校验先修、开放、容量及时间，成功加入名单并标记 ENROLLED</t>
        </is>
      </c>
      <c r="C8" s="4" t="inlineStr">
        <is>
          <t>registration</t>
        </is>
      </c>
      <c r="D8" s="4" t="inlineStr">
        <is>
          <t>有实现、部分自动场景通过；成员复核待完成</t>
        </is>
      </c>
      <c r="E8" s="4" t="inlineStr">
        <is>
          <t>A04,A05,B01,BROWSER-3,TC-CON-001,TC-DB-008,TC-REG-003,TC-REG-006,TC-REG-015,TC-REG-016,adjacentAndDifferentTeachingWeeksDoNotConflict</t>
        </is>
      </c>
      <c r="F8" s="4" t="inlineStr">
        <is>
          <t>TC-REG-003, TC-REG-005, TC-REG-006, TC-REG-007, TC-REG-008, TC-REG-009, TC-REG-010, TC-REG-015, TC-REG-016, TC-CON-001, TC-DB-007, TC-DB-008</t>
        </is>
      </c>
      <c r="G8" s="4" t="inlineStr">
        <is>
          <t>待成员填写签名/日期</t>
        </is>
      </c>
    </row>
    <row r="9">
      <c r="A9" s="4" t="inlineStr">
        <is>
          <t>FR-08</t>
        </is>
      </c>
      <c r="B9" s="4" t="inlineStr">
        <is>
          <t>在允许期间调整本人选课，并同步处理名单及名额</t>
        </is>
      </c>
      <c r="C9" s="4" t="inlineStr">
        <is>
          <t>registration</t>
        </is>
      </c>
      <c r="D9" s="4" t="inlineStr">
        <is>
          <t>有实现、部分自动场景通过；成员复核待完成</t>
        </is>
      </c>
      <c r="E9" s="4" t="inlineStr">
        <is>
          <t>B05,TC-REG-014,TC-REG-015</t>
        </is>
      </c>
      <c r="F9" s="4" t="inlineStr">
        <is>
          <t>TC-REG-011, TC-REG-014, TC-REG-015, TC-CON-002, TC-CON-003, TC-DB-007</t>
        </is>
      </c>
      <c r="G9" s="4" t="inlineStr">
        <is>
          <t>待成员填写签名/日期</t>
        </is>
      </c>
    </row>
    <row r="10">
      <c r="A10" s="4" t="inlineStr">
        <is>
          <t>FR-09</t>
        </is>
      </c>
      <c r="B10" s="4" t="inlineStr">
        <is>
          <t>经确认删除本人课表，并移除已加入班级的关系</t>
        </is>
      </c>
      <c r="C10" s="4" t="inlineStr">
        <is>
          <t>registration</t>
        </is>
      </c>
      <c r="D10" s="4" t="inlineStr">
        <is>
          <t>有实现或设计映射；相关完整用例未执行</t>
        </is>
      </c>
      <c r="E10" s="4" t="inlineStr">
        <is>
          <t>NOT_RUN</t>
        </is>
      </c>
      <c r="F10" s="4" t="inlineStr">
        <is>
          <t>TC-REG-012, TC-UI-004</t>
        </is>
      </c>
      <c r="G10" s="4" t="inlineStr">
        <is>
          <t>待成员填写签名/日期</t>
        </is>
      </c>
    </row>
    <row r="11">
      <c r="A11" s="4" t="inlineStr">
        <is>
          <t>FR-10</t>
        </is>
      </c>
      <c r="B11" s="4" t="inlineStr">
        <is>
          <t>查看本人当前课表，显示主备选、注册结果、取消原因</t>
        </is>
      </c>
      <c r="C11" s="4" t="inlineStr">
        <is>
          <t>registration</t>
        </is>
      </c>
      <c r="D11" s="4" t="inlineStr">
        <is>
          <t>有实现、部分自动场景通过；成员复核待完成</t>
        </is>
      </c>
      <c r="E11" s="4" t="inlineStr">
        <is>
          <t>B01,BROWSER-2,BROWSER-3,TC-REG-001,TC-REG-003</t>
        </is>
      </c>
      <c r="F11" s="4" t="inlineStr">
        <is>
          <t>TC-REG-001, TC-REG-003, TC-REG-011, TC-REG-012, TC-REG-013, TC-UI-002</t>
        </is>
      </c>
      <c r="G11" s="4" t="inlineStr">
        <is>
          <t>待成员填写签名/日期</t>
        </is>
      </c>
    </row>
    <row r="12">
      <c r="A12" s="4" t="inlineStr">
        <is>
          <t>FR-11</t>
        </is>
      </c>
      <c r="B12" s="4" t="inlineStr">
        <is>
          <t>教师查询有资格教授的班及本人已有授课选择</t>
        </is>
      </c>
      <c r="C12" s="4" t="inlineStr">
        <is>
          <t>teaching</t>
        </is>
      </c>
      <c r="D12" s="4" t="inlineStr">
        <is>
          <t>有实现、部分自动场景通过；成员复核待完成</t>
        </is>
      </c>
      <c r="E12" s="4" t="inlineStr">
        <is>
          <t>BROWSER-5</t>
        </is>
      </c>
      <c r="F12" s="4" t="inlineStr">
        <is>
          <t>TC-TEA-001, TC-TEA-002</t>
        </is>
      </c>
      <c r="G12" s="4" t="inlineStr">
        <is>
          <t>待成员填写签名/日期</t>
        </is>
      </c>
    </row>
    <row r="13">
      <c r="A13" s="4" t="inlineStr">
        <is>
          <t>FR-12</t>
        </is>
      </c>
      <c r="B13" s="4" t="inlineStr">
        <is>
          <t>教师选择或取消授课，检查授课时间冲突，关闭后拒绝修改</t>
        </is>
      </c>
      <c r="C13" s="4" t="inlineStr">
        <is>
          <t>teaching</t>
        </is>
      </c>
      <c r="D13" s="4" t="inlineStr">
        <is>
          <t>有实现、部分自动场景通过；成员复核待完成</t>
        </is>
      </c>
      <c r="E13" s="4" t="inlineStr">
        <is>
          <t>BROWSER-5,adjacentAndDifferentTeachingWeeksDoNotConflict</t>
        </is>
      </c>
      <c r="F13" s="4" t="inlineStr">
        <is>
          <t>TC-TEA-001, TC-TEA-002, TC-TEA-003, TC-TEA-004, TC-TEA-005, TC-TEA-006, TC-CON-004, TC-CON-005</t>
        </is>
      </c>
      <c r="G13" s="4" t="inlineStr">
        <is>
          <t>待成员填写签名/日期</t>
        </is>
      </c>
    </row>
    <row r="14">
      <c r="A14" s="4" t="inlineStr">
        <is>
          <t>FR-13</t>
        </is>
      </c>
      <c r="B14" s="4" t="inlineStr">
        <is>
          <t>教师查询本人授课班正式注册学生名单及已有成绩</t>
        </is>
      </c>
      <c r="C14" s="4" t="inlineStr">
        <is>
          <t>teaching</t>
        </is>
      </c>
      <c r="D14" s="4" t="inlineStr">
        <is>
          <t>有实现、部分自动场景通过；成员复核待完成</t>
        </is>
      </c>
      <c r="E14" s="4" t="inlineStr">
        <is>
          <t>A02,A06,B02,BROWSER-5,TC-GRADE-001</t>
        </is>
      </c>
      <c r="F14" s="4" t="inlineStr">
        <is>
          <t>TC-GRADE-001, TC-GRADE-008</t>
        </is>
      </c>
      <c r="G14" s="4" t="inlineStr">
        <is>
          <t>待成员填写签名/日期</t>
        </is>
      </c>
    </row>
    <row r="15">
      <c r="A15" s="4" t="inlineStr">
        <is>
          <t>FR-14</t>
        </is>
      </c>
      <c r="B15" s="4" t="inlineStr">
        <is>
          <t>教师为上一学期本人所教班录入、留空、补录和修改合法成绩</t>
        </is>
      </c>
      <c r="C15" s="4" t="inlineStr">
        <is>
          <t>teaching</t>
        </is>
      </c>
      <c r="D15" s="4" t="inlineStr">
        <is>
          <t>有实现、部分自动场景通过；成员复核待完成</t>
        </is>
      </c>
      <c r="E15" s="4" t="inlineStr">
        <is>
          <t>A02,A06,A07,B02,BROWSER-5,TC-GRADE-001,TC-GRADE-002,TC-GRADE-003,TC-GRADE-007</t>
        </is>
      </c>
      <c r="F15" s="4" t="inlineStr">
        <is>
          <t>TC-GRADE-001, TC-GRADE-002, TC-GRADE-003, TC-GRADE-004, TC-GRADE-005, TC-GRADE-007, TC-GRADE-008, TC-UI-007, TC-API-004, TC-DB-009</t>
        </is>
      </c>
      <c r="G15" s="4" t="inlineStr">
        <is>
          <t>待成员填写签名/日期</t>
        </is>
      </c>
    </row>
    <row r="16">
      <c r="A16" s="4" t="inlineStr">
        <is>
          <t>FR-15</t>
        </is>
      </c>
      <c r="B16" s="4" t="inlineStr">
        <is>
          <t>学生查询本人上一已完成学期成绩，无成绩时提示</t>
        </is>
      </c>
      <c r="C16" s="4" t="inlineStr">
        <is>
          <t>teaching</t>
        </is>
      </c>
      <c r="D16" s="4" t="inlineStr">
        <is>
          <t>有实现、部分自动场景通过；成员复核待完成</t>
        </is>
      </c>
      <c r="E16" s="4" t="inlineStr">
        <is>
          <t>A02,B05,BROWSER-4</t>
        </is>
      </c>
      <c r="F16" s="4" t="inlineStr">
        <is>
          <t>TC-GRADE-006, TC-GRADE-008, TC-PRIV-001</t>
        </is>
      </c>
      <c r="G16" s="4" t="inlineStr">
        <is>
          <t>待成员填写签名/日期</t>
        </is>
      </c>
    </row>
    <row r="17">
      <c r="A17" s="4" t="inlineStr">
        <is>
          <t>FR-16</t>
        </is>
      </c>
      <c r="B17" s="4" t="inlineStr">
        <is>
          <t>教务管理员新增、按 ID 查询、修改学生，新增返回唯一 ID</t>
        </is>
      </c>
      <c r="C17" s="4" t="inlineStr">
        <is>
          <t>people</t>
        </is>
      </c>
      <c r="D17" s="4" t="inlineStr">
        <is>
          <t>有实现、部分自动场景通过；成员复核待完成</t>
        </is>
      </c>
      <c r="E17" s="4" t="inlineStr">
        <is>
          <t>A08,A09,A12,B03,TC-PEOPLE-001</t>
        </is>
      </c>
      <c r="F17" s="4" t="inlineStr">
        <is>
          <t>TC-PEOPLE-001, TC-PEOPLE-002, TC-PEOPLE-007, TC-PEOPLE-008, TC-PEOPLE-009, TC-PEOPLE-010, TC-PEOPLE-011</t>
        </is>
      </c>
      <c r="G17" s="4" t="inlineStr">
        <is>
          <t>待成员填写签名/日期</t>
        </is>
      </c>
    </row>
    <row r="18">
      <c r="A18" s="4" t="inlineStr">
        <is>
          <t>FR-17</t>
        </is>
      </c>
      <c r="B18" s="4" t="inlineStr">
        <is>
          <t>教务管理员查询并确认删除学生；不存在或取消时不误删</t>
        </is>
      </c>
      <c r="C18" s="4" t="inlineStr">
        <is>
          <t>people</t>
        </is>
      </c>
      <c r="D18" s="4" t="inlineStr">
        <is>
          <t>有实现、部分自动场景通过；成员复核待完成</t>
        </is>
      </c>
      <c r="E18" s="4" t="inlineStr">
        <is>
          <t>A11,TC-PEOPLE-004</t>
        </is>
      </c>
      <c r="F18" s="4" t="inlineStr">
        <is>
          <t>TC-PEOPLE-003, TC-PEOPLE-004, TC-PEOPLE-006, TC-PEOPLE-012</t>
        </is>
      </c>
      <c r="G18" s="4" t="inlineStr">
        <is>
          <t>待成员填写签名/日期</t>
        </is>
      </c>
    </row>
    <row r="19">
      <c r="A19" s="4" t="inlineStr">
        <is>
          <t>FR-18</t>
        </is>
      </c>
      <c r="B19" s="4" t="inlineStr">
        <is>
          <t>教务管理员新增、按 ID 查询、修改教师，新增返回唯一 ID</t>
        </is>
      </c>
      <c r="C19" s="4" t="inlineStr">
        <is>
          <t>people</t>
        </is>
      </c>
      <c r="D19" s="4" t="inlineStr">
        <is>
          <t>有实现、部分自动场景通过；成员复核待完成</t>
        </is>
      </c>
      <c r="E19" s="4" t="inlineStr">
        <is>
          <t>A08,A09,A12,B03,TC-PEOPLE-001</t>
        </is>
      </c>
      <c r="F19" s="4" t="inlineStr">
        <is>
          <t>TC-PEOPLE-001, TC-PEOPLE-002, TC-PEOPLE-007, TC-PEOPLE-008, TC-PEOPLE-009, TC-PEOPLE-010, TC-PEOPLE-011</t>
        </is>
      </c>
      <c r="G19" s="4" t="inlineStr">
        <is>
          <t>待成员填写签名/日期</t>
        </is>
      </c>
    </row>
    <row r="20">
      <c r="A20" s="4" t="inlineStr">
        <is>
          <t>FR-19</t>
        </is>
      </c>
      <c r="B20" s="4" t="inlineStr">
        <is>
          <t>教务管理员查询并确认删除教师；不存在或取消时不误删</t>
        </is>
      </c>
      <c r="C20" s="4" t="inlineStr">
        <is>
          <t>people</t>
        </is>
      </c>
      <c r="D20" s="4" t="inlineStr">
        <is>
          <t>有实现、部分自动场景通过；成员复核待完成</t>
        </is>
      </c>
      <c r="E20" s="4" t="inlineStr">
        <is>
          <t>A11,TC-PEOPLE-004</t>
        </is>
      </c>
      <c r="F20" s="4" t="inlineStr">
        <is>
          <t>TC-PEOPLE-003, TC-PEOPLE-004, TC-PEOPLE-006, TC-PEOPLE-012</t>
        </is>
      </c>
      <c r="G20" s="4" t="inlineStr">
        <is>
          <t>待成员填写签名/日期</t>
        </is>
      </c>
    </row>
    <row r="21">
      <c r="A21" s="4" t="inlineStr">
        <is>
          <t>FR-20</t>
        </is>
      </c>
      <c r="B21" s="4" t="inlineStr">
        <is>
          <t>关闭注册，处理确认、补位、取消、最终课表及学费事务</t>
        </is>
      </c>
      <c r="C21" s="4" t="inlineStr">
        <is>
          <t>closing</t>
        </is>
      </c>
      <c r="D21" s="4" t="inlineStr">
        <is>
          <t>有实现、部分自动场景通过；成员复核待完成</t>
        </is>
      </c>
      <c r="E21" s="4" t="inlineStr">
        <is>
          <t>B04,BROWSER-7,R01,R03,TC-CLOSE-001,TC-CLOSE-010,TC-CON-006,failedCandidateDoesNotRemoveExistingSeat,firstTimeThenStudentIdDecidesLastSeat,lowClassCanReachThreeBeforeCancellation,noInstructorAlwaysCancels,permutationsProduceSameSortedResult,replacementUsesLargestUnconfirmedPrimaryOrder</t>
        </is>
      </c>
      <c r="F21" s="4" t="inlineStr">
        <is>
          <t>TC-CLOSE-001, TC-CLOSE-002, TC-CLOSE-003, TC-CLOSE-004, TC-CLOSE-005, TC-CLOSE-006, TC-CLOSE-007, TC-CLOSE-008, TC-CLOSE-009, TC-CLOSE-010, TC-CLOSE-011, TC-CLOSE-012, TC-CON-006, TC-CON-007, TC-CON-009, TC-UI-009, TC-OPS-006, TC-PERF-008</t>
        </is>
      </c>
      <c r="G21" s="4" t="inlineStr">
        <is>
          <t>待成员填写签名/日期</t>
        </is>
      </c>
    </row>
    <row r="22">
      <c r="A22" s="4" t="inlineStr">
        <is>
          <t>FR-21</t>
        </is>
      </c>
      <c r="B22" s="4" t="inlineStr">
        <is>
          <t>从课程目录只读取数，访问失败提示并终止依赖流程</t>
        </is>
      </c>
      <c r="C22" s="4" t="inlineStr">
        <is>
          <t>catalog</t>
        </is>
      </c>
      <c r="D22" s="4" t="inlineStr">
        <is>
          <t>有实现、部分自动场景通过；成员复核待完成</t>
        </is>
      </c>
      <c r="E22" s="4" t="inlineStr">
        <is>
          <t>A13</t>
        </is>
      </c>
      <c r="F22" s="4" t="inlineStr">
        <is>
          <t>TC-CAT-003, TC-CAT-004, TC-CAT-005, TC-DB-006</t>
        </is>
      </c>
      <c r="G22" s="4" t="inlineStr">
        <is>
          <t>待成员填写签名/日期</t>
        </is>
      </c>
    </row>
    <row r="23">
      <c r="A23" s="4" t="inlineStr">
        <is>
          <t>FR-22</t>
        </is>
      </c>
      <c r="B23" s="4" t="inlineStr">
        <is>
          <t>向计费系统发送最终课表和学费，不可用时持续重试</t>
        </is>
      </c>
      <c r="C23" s="4" t="inlineStr">
        <is>
          <t>billing</t>
        </is>
      </c>
      <c r="D23" s="4" t="inlineStr">
        <is>
          <t>有实现、部分自动场景通过；成员复核待完成</t>
        </is>
      </c>
      <c r="E23" s="4" t="inlineStr">
        <is>
          <t>R02,R03,TC-BILL-003</t>
        </is>
      </c>
      <c r="F23" s="4" t="inlineStr">
        <is>
          <t>TC-BILL-001, TC-BILL-002, TC-BILL-003, TC-BILL-004, TC-BILL-005, TC-BILL-006, TC-BILL-007, TC-BILL-008, TC-BILL-009, TC-BILL-010, TC-BILL-011, TC-BILL-012, TC-PERF-009</t>
        </is>
      </c>
      <c r="G23" s="4" t="inlineStr">
        <is>
          <t>待成员填写签名/日期</t>
        </is>
      </c>
    </row>
    <row r="24">
      <c r="A24" s="4" t="inlineStr">
        <is>
          <t>FR-23</t>
        </is>
      </c>
      <c r="B24" s="4" t="inlineStr">
        <is>
          <t>展示管理员关闭处理及计费发送状态，不把待发送显示为已发送</t>
        </is>
      </c>
      <c r="C24" s="4" t="inlineStr">
        <is>
          <t>closing</t>
        </is>
      </c>
      <c r="D24" s="4" t="inlineStr">
        <is>
          <t>有实现、部分自动场景通过；成员复核待完成</t>
        </is>
      </c>
      <c r="E24" s="4" t="inlineStr">
        <is>
          <t>B04,BROWSER-7,R02,R03,TC-CLOSE-001</t>
        </is>
      </c>
      <c r="F24" s="4" t="inlineStr">
        <is>
          <t>TC-CLOSE-001, TC-CLOSE-009, TC-BILL-001, TC-BILL-004, TC-BILL-009, TC-UI-005, TC-UI-009, TC-API-005</t>
        </is>
      </c>
      <c r="G24" s="4" t="inlineStr">
        <is>
          <t>待成员填写签名/日期</t>
        </is>
      </c>
    </row>
    <row r="25">
      <c r="A25" s="4" t="inlineStr">
        <is>
          <t>FR-24</t>
        </is>
      </c>
      <c r="B25" s="4" t="inlineStr">
        <is>
          <t>课程和人员列表提供基本搜索、空结果和分页交互</t>
        </is>
      </c>
      <c r="C25" s="4" t="inlineStr">
        <is>
          <t>catalog</t>
        </is>
      </c>
      <c r="D25" s="4" t="inlineStr">
        <is>
          <t>有实现、部分自动场景通过；成员复核待完成</t>
        </is>
      </c>
      <c r="E25" s="4" t="inlineStr">
        <is>
          <t>A09,A14,B03,BROWSER-6,TC-API-003</t>
        </is>
      </c>
      <c r="F25" s="4" t="inlineStr">
        <is>
          <t>TC-CAT-002, TC-PEOPLE-008, TC-UI-006, TC-UI-008, TC-API-003</t>
        </is>
      </c>
      <c r="G25" s="4" t="inlineStr">
        <is>
          <t>待成员填写签名/日期</t>
        </is>
      </c>
    </row>
    <row r="26">
      <c r="A26" s="4" t="inlineStr">
        <is>
          <t>FR-25</t>
        </is>
      </c>
      <c r="B26" s="4" t="inlineStr">
        <is>
          <t>构建课表期间课程变满，应在提交处理前通知；提交再校验</t>
        </is>
      </c>
      <c r="C26" s="4" t="inlineStr">
        <is>
          <t>catalog</t>
        </is>
      </c>
      <c r="D26" s="4" t="inlineStr">
        <is>
          <t>有实现或设计映射；相关完整用例未执行</t>
        </is>
      </c>
      <c r="E26" s="4" t="inlineStr">
        <is>
          <t>NOT_RUN</t>
        </is>
      </c>
      <c r="F26" s="4" t="inlineStr">
        <is>
          <t>TC-CAT-006, TC-REG-010, TC-UI-003</t>
        </is>
      </c>
      <c r="G26" s="4" t="inlineStr">
        <is>
          <t>待成员填写签名/日期</t>
        </is>
      </c>
    </row>
    <row r="27">
      <c r="A27" s="4" t="inlineStr">
        <is>
          <t>BR-01</t>
        </is>
      </c>
      <c r="B27" s="4" t="inlineStr">
        <is>
          <t>建立方案时选择 4 主选和 2 备选；关闭时无法补足允许最终少于 4 个</t>
        </is>
      </c>
      <c r="C27" s="4" t="inlineStr">
        <is>
          <t>registration / teaching / closing</t>
        </is>
      </c>
      <c r="D27" s="4" t="inlineStr">
        <is>
          <t>有实现、部分自动场景通过；成员复核待完成</t>
        </is>
      </c>
      <c r="E27" s="4" t="inlineStr">
        <is>
          <t>A04,B01,BROWSER-3,TC-REG-003</t>
        </is>
      </c>
      <c r="F27" s="4" t="inlineStr">
        <is>
          <t>TC-REG-002, TC-REG-003, TC-REG-004, TC-REG-011, TC-CLOSE-006</t>
        </is>
      </c>
      <c r="G27" s="4" t="inlineStr">
        <is>
          <t>待成员填写签名/日期</t>
        </is>
      </c>
    </row>
    <row r="28">
      <c r="A28" s="4" t="inlineStr">
        <is>
          <t>BR-02</t>
        </is>
      </c>
      <c r="B28" s="4" t="inlineStr">
        <is>
          <t>每班正式注册最多 10 人，最终低于 3 人取消</t>
        </is>
      </c>
      <c r="C28" s="4" t="inlineStr">
        <is>
          <t>registration / teaching / closing</t>
        </is>
      </c>
      <c r="D28" s="4" t="inlineStr">
        <is>
          <t>有实现、部分自动场景通过；成员复核待完成</t>
        </is>
      </c>
      <c r="E28" s="4" t="inlineStr">
        <is>
          <t>TC-CON-001,lowClassCanReachThreeBeforeCancellation</t>
        </is>
      </c>
      <c r="F28" s="4" t="inlineStr">
        <is>
          <t>TC-REG-010, TC-CLOSE-003, TC-CLOSE-012, TC-CON-001, TC-DB-002</t>
        </is>
      </c>
      <c r="G28" s="4" t="inlineStr">
        <is>
          <t>待成员填写签名/日期</t>
        </is>
      </c>
    </row>
    <row r="29">
      <c r="A29" s="4" t="inlineStr">
        <is>
          <t>BR-03</t>
        </is>
      </c>
      <c r="B29" s="4" t="inlineStr">
        <is>
          <t>未满足必要先修条件不得正式注册</t>
        </is>
      </c>
      <c r="C29" s="4" t="inlineStr">
        <is>
          <t>registration / teaching / closing</t>
        </is>
      </c>
      <c r="D29" s="4" t="inlineStr">
        <is>
          <t>有实现、部分自动场景通过；成员复核待完成</t>
        </is>
      </c>
      <c r="E29" s="4" t="inlineStr">
        <is>
          <t>A05,TC-REG-006,failedCandidateDoesNotRemoveExistingSeat</t>
        </is>
      </c>
      <c r="F29" s="4" t="inlineStr">
        <is>
          <t>TC-REG-006, TC-REG-007, TC-CLOSE-005</t>
        </is>
      </c>
      <c r="G29" s="4" t="inlineStr">
        <is>
          <t>待成员填写签名/日期</t>
        </is>
      </c>
    </row>
    <row r="30">
      <c r="A30" s="4" t="inlineStr">
        <is>
          <t>BR-04</t>
        </is>
      </c>
      <c r="B30" s="4" t="inlineStr">
        <is>
          <t>学生正式课程及教师授课分别检查时间冲突</t>
        </is>
      </c>
      <c r="C30" s="4" t="inlineStr">
        <is>
          <t>registration / teaching / closing</t>
        </is>
      </c>
      <c r="D30" s="4" t="inlineStr">
        <is>
          <t>有实现、部分自动场景通过；成员复核待完成</t>
        </is>
      </c>
      <c r="E30" s="4" t="inlineStr">
        <is>
          <t>A04,adjacentAndDifferentTeachingWeeksDoNotConflict</t>
        </is>
      </c>
      <c r="F30" s="4" t="inlineStr">
        <is>
          <t>TC-REG-008, TC-REG-009, TC-TEA-003, TC-CON-005</t>
        </is>
      </c>
      <c r="G30" s="4" t="inlineStr">
        <is>
          <t>待成员填写签名/日期</t>
        </is>
      </c>
    </row>
    <row r="31">
      <c r="A31" s="4" t="inlineStr">
        <is>
          <t>BR-05</t>
        </is>
      </c>
      <c r="B31" s="4" t="inlineStr">
        <is>
          <t>学生修改受增退课窗口限制；注册关闭后学生和教师均不能改变选课/授课</t>
        </is>
      </c>
      <c r="C31" s="4" t="inlineStr">
        <is>
          <t>registration / teaching / closing</t>
        </is>
      </c>
      <c r="D31" s="4" t="inlineStr">
        <is>
          <t>有实现、部分自动场景通过；成员复核待完成</t>
        </is>
      </c>
      <c r="E31" s="4" t="inlineStr">
        <is>
          <t>B05,TC-REG-014</t>
        </is>
      </c>
      <c r="F31" s="4" t="inlineStr">
        <is>
          <t>TC-REG-014, TC-TEA-005, TC-CON-007</t>
        </is>
      </c>
      <c r="G31" s="4" t="inlineStr">
        <is>
          <t>待成员填写签名/日期</t>
        </is>
      </c>
    </row>
    <row r="32">
      <c r="A32" s="4" t="inlineStr">
        <is>
          <t>BR-06</t>
        </is>
      </c>
      <c r="B32" s="4" t="inlineStr">
        <is>
          <t>保存与正式注册不同，SELECTED 与 ENROLLED 可区分</t>
        </is>
      </c>
      <c r="C32" s="4" t="inlineStr">
        <is>
          <t>registration / teaching / closing</t>
        </is>
      </c>
      <c r="D32" s="4" t="inlineStr">
        <is>
          <t>有实现、部分自动场景通过；成员复核待完成</t>
        </is>
      </c>
      <c r="E32" s="4" t="inlineStr">
        <is>
          <t>B01,BROWSER-2,BROWSER-3,TC-REG-001</t>
        </is>
      </c>
      <c r="F32" s="4" t="inlineStr">
        <is>
          <t>TC-REG-001, TC-REG-013, TC-UI-002</t>
        </is>
      </c>
      <c r="G32" s="4" t="inlineStr">
        <is>
          <t>待成员填写签名/日期</t>
        </is>
      </c>
    </row>
    <row r="33">
      <c r="A33" s="4" t="inlineStr">
        <is>
          <t>BR-07</t>
        </is>
      </c>
      <c r="B33" s="4" t="inlineStr">
        <is>
          <t>构建过程中满员应在提交处理前通知，正式提交必须再验证</t>
        </is>
      </c>
      <c r="C33" s="4" t="inlineStr">
        <is>
          <t>registration / teaching / closing</t>
        </is>
      </c>
      <c r="D33" s="4" t="inlineStr">
        <is>
          <t>有实现、部分自动场景通过；成员复核待完成</t>
        </is>
      </c>
      <c r="E33" s="4" t="inlineStr">
        <is>
          <t>TC-CON-001</t>
        </is>
      </c>
      <c r="F33" s="4" t="inlineStr">
        <is>
          <t>TC-CAT-006, TC-REG-010, TC-CON-001</t>
        </is>
      </c>
      <c r="G33" s="4" t="inlineStr">
        <is>
          <t>待成员填写签名/日期</t>
        </is>
      </c>
    </row>
    <row r="34">
      <c r="A34" s="4" t="inlineStr">
        <is>
          <t>BR-08</t>
        </is>
      </c>
      <c r="B34" s="4" t="inlineStr">
        <is>
          <t>无教师班取消；补位后仍少于 3 人班取消</t>
        </is>
      </c>
      <c r="C34" s="4" t="inlineStr">
        <is>
          <t>registration / teaching / closing</t>
        </is>
      </c>
      <c r="D34" s="4" t="inlineStr">
        <is>
          <t>有实现、部分自动场景通过；成员复核待完成</t>
        </is>
      </c>
      <c r="E34" s="4" t="inlineStr">
        <is>
          <t>lowClassCanReachThreeBeforeCancellation,noInstructorAlwaysCancels</t>
        </is>
      </c>
      <c r="F34" s="4" t="inlineStr">
        <is>
          <t>TC-CLOSE-002, TC-CLOSE-003, TC-CLOSE-012</t>
        </is>
      </c>
      <c r="G34" s="4" t="inlineStr">
        <is>
          <t>待成员填写签名/日期</t>
        </is>
      </c>
    </row>
    <row r="35">
      <c r="A35" s="4" t="inlineStr">
        <is>
          <t>BR-09</t>
        </is>
      </c>
      <c r="B35" s="4" t="inlineStr">
        <is>
          <t>备选有顺序，按可用性尝试；没有可用备选不替补</t>
        </is>
      </c>
      <c r="C35" s="4" t="inlineStr">
        <is>
          <t>registration / teaching / closing</t>
        </is>
      </c>
      <c r="D35" s="4" t="inlineStr">
        <is>
          <t>有实现、部分自动场景通过；成员复核待完成</t>
        </is>
      </c>
      <c r="E35" s="4" t="inlineStr">
        <is>
          <t>failedCandidateDoesNotRemoveExistingSeat,firstTimeThenStudentIdDecidesLastSeat,permutationsProduceSameSortedResult</t>
        </is>
      </c>
      <c r="F35" s="4" t="inlineStr">
        <is>
          <t>TC-CLOSE-005, TC-CLOSE-006, TC-CLOSE-007</t>
        </is>
      </c>
      <c r="G35" s="4" t="inlineStr">
        <is>
          <t>待成员填写签名/日期</t>
        </is>
      </c>
    </row>
    <row r="36">
      <c r="A36" s="4" t="inlineStr">
        <is>
          <t>BR-10</t>
        </is>
      </c>
      <c r="B36" s="4" t="inlineStr">
        <is>
          <t>成绩只允许 A/B/C/D/F/I，允许跳过、补录和修改</t>
        </is>
      </c>
      <c r="C36" s="4" t="inlineStr">
        <is>
          <t>registration / teaching / closing</t>
        </is>
      </c>
      <c r="D36" s="4" t="inlineStr">
        <is>
          <t>有实现、部分自动场景通过；成员复核待完成</t>
        </is>
      </c>
      <c r="E36" s="4" t="inlineStr">
        <is>
          <t>A06,A07,B02,BROWSER-5,TC-GRADE-001,TC-GRADE-002,TC-GRADE-003</t>
        </is>
      </c>
      <c r="F36" s="4" t="inlineStr">
        <is>
          <t>TC-GRADE-001, TC-GRADE-002, TC-GRADE-003, TC-GRADE-004, TC-API-004, TC-DB-009</t>
        </is>
      </c>
      <c r="G36" s="4" t="inlineStr">
        <is>
          <t>待成员填写签名/日期</t>
        </is>
      </c>
    </row>
    <row r="37">
      <c r="A37" s="4" t="inlineStr">
        <is>
          <t>BR-11</t>
        </is>
      </c>
      <c r="B37" s="4" t="inlineStr">
        <is>
          <t>源课程目录只读，授课与选课关系由本系统负责</t>
        </is>
      </c>
      <c r="C37" s="4" t="inlineStr">
        <is>
          <t>registration / teaching / closing</t>
        </is>
      </c>
      <c r="D37" s="4" t="inlineStr">
        <is>
          <t>有实现、部分自动场景通过；成员复核待完成</t>
        </is>
      </c>
      <c r="E37" s="4" t="inlineStr">
        <is>
          <t>A13,BROWSER-5</t>
        </is>
      </c>
      <c r="F37" s="4" t="inlineStr">
        <is>
          <t>TC-CAT-003, TC-CAT-005, TC-TEA-001</t>
        </is>
      </c>
      <c r="G37" s="4" t="inlineStr">
        <is>
          <t>待成员填写签名/日期</t>
        </is>
      </c>
    </row>
    <row r="38">
      <c r="A38" s="4" t="inlineStr">
        <is>
          <t>BR-12</t>
        </is>
      </c>
      <c r="B38" s="4" t="inlineStr">
        <is>
          <t>同一学生同一学期仅一份活动课表，同一班不重复正式注册</t>
        </is>
      </c>
      <c r="C38" s="4" t="inlineStr">
        <is>
          <t>registration / teaching / closing</t>
        </is>
      </c>
      <c r="D38" s="4" t="inlineStr">
        <is>
          <t>有实现、部分自动场景通过；成员复核待完成</t>
        </is>
      </c>
      <c r="E38" s="4" t="inlineStr">
        <is>
          <t>TC-REG-016</t>
        </is>
      </c>
      <c r="F38" s="4" t="inlineStr">
        <is>
          <t>TC-REG-005, TC-REG-012, TC-REG-016, TC-DB-001</t>
        </is>
      </c>
      <c r="G38" s="4" t="inlineStr">
        <is>
          <t>待成员填写签名/日期</t>
        </is>
      </c>
    </row>
    <row r="39">
      <c r="A39" s="4" t="inlineStr">
        <is>
          <t>BR-13</t>
        </is>
      </c>
      <c r="B39" s="4" t="inlineStr">
        <is>
          <t>草稿和未激活备选不占正式名额；重复主备选不允许</t>
        </is>
      </c>
      <c r="C39" s="4" t="inlineStr">
        <is>
          <t>registration / teaching / closing</t>
        </is>
      </c>
      <c r="D39" s="4" t="inlineStr">
        <is>
          <t>有实现、部分自动场景通过；成员复核待完成</t>
        </is>
      </c>
      <c r="E39" s="4" t="inlineStr">
        <is>
          <t>B01,BROWSER-2,BROWSER-3,TC-REG-001,TC-REG-003</t>
        </is>
      </c>
      <c r="F39" s="4" t="inlineStr">
        <is>
          <t>TC-REG-001, TC-REG-003, TC-REG-005</t>
        </is>
      </c>
      <c r="G39" s="4" t="inlineStr">
        <is>
          <t>待成员填写签名/日期</t>
        </is>
      </c>
    </row>
    <row r="40">
      <c r="A40" s="4" t="inlineStr">
        <is>
          <t>BR-14</t>
        </is>
      </c>
      <c r="B40" s="4" t="inlineStr">
        <is>
          <t>并发不能超员，退课应同步释放名额，重试不能重复占名额</t>
        </is>
      </c>
      <c r="C40" s="4" t="inlineStr">
        <is>
          <t>registration / teaching / closing</t>
        </is>
      </c>
      <c r="D40" s="4" t="inlineStr">
        <is>
          <t>有实现、部分自动场景通过；成员复核待完成</t>
        </is>
      </c>
      <c r="E40" s="4" t="inlineStr">
        <is>
          <t>TC-CON-001,TC-DB-008,TC-REG-016</t>
        </is>
      </c>
      <c r="F40" s="4" t="inlineStr">
        <is>
          <t>TC-REG-012, TC-REG-016, TC-CON-001, TC-CON-003, TC-DB-008</t>
        </is>
      </c>
      <c r="G40" s="4" t="inlineStr">
        <is>
          <t>待成员填写签名/日期</t>
        </is>
      </c>
    </row>
    <row r="41">
      <c r="A41" s="4" t="inlineStr">
        <is>
          <t>BR-15</t>
        </is>
      </c>
      <c r="B41" s="4" t="inlineStr">
        <is>
          <t>替补检查资格、先修、容量、状态及正式课表冲突</t>
        </is>
      </c>
      <c r="C41" s="4" t="inlineStr">
        <is>
          <t>registration / teaching / closing</t>
        </is>
      </c>
      <c r="D41" s="4" t="inlineStr">
        <is>
          <t>有实现、部分自动场景通过；成员复核待完成</t>
        </is>
      </c>
      <c r="E41" s="4" t="inlineStr">
        <is>
          <t>failedCandidateDoesNotRemoveExistingSeat,replacementUsesLargestUnconfirmedPrimaryOrder</t>
        </is>
      </c>
      <c r="F41" s="4" t="inlineStr">
        <is>
          <t>TC-CLOSE-004, TC-CLOSE-005, TC-CLOSE-006, TC-CLOSE-012</t>
        </is>
      </c>
      <c r="G41" s="4" t="inlineStr">
        <is>
          <t>待成员填写签名/日期</t>
        </is>
      </c>
    </row>
    <row r="42">
      <c r="A42" s="4" t="inlineStr">
        <is>
          <t>BR-16</t>
        </is>
      </c>
      <c r="B42" s="4" t="inlineStr">
        <is>
          <t>重复关闭与重复计费发送不得产生重复业务结果</t>
        </is>
      </c>
      <c r="C42" s="4" t="inlineStr">
        <is>
          <t>registration / teaching / closing</t>
        </is>
      </c>
      <c r="D42" s="4" t="inlineStr">
        <is>
          <t>有实现、部分自动场景通过；成员复核待完成</t>
        </is>
      </c>
      <c r="E42" s="4" t="inlineStr">
        <is>
          <t>R02,R03,TC-BILL-003</t>
        </is>
      </c>
      <c r="F42" s="4" t="inlineStr">
        <is>
          <t>TC-CLOSE-009, TC-BILL-003, TC-BILL-007, TC-BILL-011, TC-CON-009, TC-DB-005</t>
        </is>
      </c>
      <c r="G42" s="4" t="inlineStr">
        <is>
          <t>待成员填写签名/日期</t>
        </is>
      </c>
    </row>
    <row r="43">
      <c r="A43" s="4" t="inlineStr">
        <is>
          <t>SEC-01</t>
        </is>
      </c>
      <c r="B43" s="4" t="inlineStr">
        <is>
          <t>详见SRS对应条目</t>
        </is>
      </c>
      <c r="C43" s="4" t="inlineStr">
        <is>
          <t>shared / auth / business services</t>
        </is>
      </c>
      <c r="D43" s="4" t="inlineStr">
        <is>
          <t>有实现、部分自动场景通过；成员复核待完成</t>
        </is>
      </c>
      <c r="E43" s="4" t="inlineStr">
        <is>
          <t>A02,BROWSER-4,TC-SEC-001</t>
        </is>
      </c>
      <c r="F43" s="4" t="inlineStr">
        <is>
          <t>TC-GRADE-008, TC-SEC-001, TC-PRIV-001</t>
        </is>
      </c>
      <c r="G43" s="4" t="inlineStr">
        <is>
          <t>待成员填写签名/日期</t>
        </is>
      </c>
    </row>
    <row r="44">
      <c r="A44" s="4" t="inlineStr">
        <is>
          <t>SEC-02</t>
        </is>
      </c>
      <c r="B44" s="4" t="inlineStr">
        <is>
          <t>详见SRS对应条目</t>
        </is>
      </c>
      <c r="C44" s="4" t="inlineStr">
        <is>
          <t>shared / auth / business services</t>
        </is>
      </c>
      <c r="D44" s="4" t="inlineStr">
        <is>
          <t>有实现、部分自动场景通过；成员复核待完成</t>
        </is>
      </c>
      <c r="E44" s="4" t="inlineStr">
        <is>
          <t>A02,BROWSER-4,TC-SEC-001,TC-SEC-002</t>
        </is>
      </c>
      <c r="F44" s="4" t="inlineStr">
        <is>
          <t>TC-SEC-001, TC-SEC-002, TC-SEC-006, TC-PRIV-004</t>
        </is>
      </c>
      <c r="G44" s="4" t="inlineStr">
        <is>
          <t>待成员填写签名/日期</t>
        </is>
      </c>
    </row>
    <row r="45">
      <c r="A45" s="4" t="inlineStr">
        <is>
          <t>SEC-03</t>
        </is>
      </c>
      <c r="B45" s="4" t="inlineStr">
        <is>
          <t>详见SRS对应条目</t>
        </is>
      </c>
      <c r="C45" s="4" t="inlineStr">
        <is>
          <t>shared / auth / business services</t>
        </is>
      </c>
      <c r="D45" s="4" t="inlineStr">
        <is>
          <t>有实现、部分自动场景通过；成员复核待完成</t>
        </is>
      </c>
      <c r="E45" s="4" t="inlineStr">
        <is>
          <t>A10,A11,B03,TC-AUTH-003</t>
        </is>
      </c>
      <c r="F45" s="4" t="inlineStr">
        <is>
          <t>TC-AUTH-003, TC-AUTH-006, TC-AUTH-008, TC-PEOPLE-013, TC-SEC-008</t>
        </is>
      </c>
      <c r="G45" s="4" t="inlineStr">
        <is>
          <t>待成员填写签名/日期</t>
        </is>
      </c>
    </row>
    <row r="46">
      <c r="A46" s="4" t="inlineStr">
        <is>
          <t>DATA-01</t>
        </is>
      </c>
      <c r="B46" s="4" t="inlineStr">
        <is>
          <t>详见SRS对应条目</t>
        </is>
      </c>
      <c r="C46" s="4" t="inlineStr">
        <is>
          <t>shared / auth / business services</t>
        </is>
      </c>
      <c r="D46" s="4" t="inlineStr">
        <is>
          <t>有实现、部分自动场景通过；成员复核待完成</t>
        </is>
      </c>
      <c r="E46" s="4" t="inlineStr">
        <is>
          <t>A06,A08,A12,B03,TC-PEOPLE-001,TC-REG-016</t>
        </is>
      </c>
      <c r="F46" s="4" t="inlineStr">
        <is>
          <t>TC-REG-016, TC-GRADE-005, TC-PEOPLE-001, TC-DB-001, TC-DB-004, TC-DB-005</t>
        </is>
      </c>
      <c r="G46" s="4" t="inlineStr">
        <is>
          <t>待成员填写签名/日期</t>
        </is>
      </c>
    </row>
    <row r="47">
      <c r="A47" s="4" t="inlineStr">
        <is>
          <t>DATA-02</t>
        </is>
      </c>
      <c r="B47" s="4" t="inlineStr">
        <is>
          <t>详见SRS对应条目</t>
        </is>
      </c>
      <c r="C47" s="4" t="inlineStr">
        <is>
          <t>shared / auth / business services</t>
        </is>
      </c>
      <c r="D47" s="4" t="inlineStr">
        <is>
          <t>有实现、部分自动场景通过；成员复核待完成</t>
        </is>
      </c>
      <c r="E47" s="4" t="inlineStr">
        <is>
          <t>BROWSER-2,BROWSER-3,TC-REG-001</t>
        </is>
      </c>
      <c r="F47" s="4" t="inlineStr">
        <is>
          <t>TC-REG-001, TC-REG-013, TC-CLOSE-012, TC-DB-010</t>
        </is>
      </c>
      <c r="G47" s="4" t="inlineStr">
        <is>
          <t>待成员填写签名/日期</t>
        </is>
      </c>
    </row>
    <row r="48">
      <c r="A48" s="4" t="inlineStr">
        <is>
          <t>DATA-03</t>
        </is>
      </c>
      <c r="B48" s="4" t="inlineStr">
        <is>
          <t>详见SRS对应条目</t>
        </is>
      </c>
      <c r="C48" s="4" t="inlineStr">
        <is>
          <t>shared / auth / business services</t>
        </is>
      </c>
      <c r="D48" s="4" t="inlineStr">
        <is>
          <t>有实现、部分自动场景通过；成员复核待完成</t>
        </is>
      </c>
      <c r="E48" s="4" t="inlineStr">
        <is>
          <t>A11,A12,TC-PEOPLE-004</t>
        </is>
      </c>
      <c r="F48" s="4" t="inlineStr">
        <is>
          <t>TC-PEOPLE-003, TC-PEOPLE-004, TC-PEOPLE-012, TC-BILL-012, TC-DB-004</t>
        </is>
      </c>
      <c r="G48" s="4" t="inlineStr">
        <is>
          <t>待成员填写签名/日期</t>
        </is>
      </c>
    </row>
    <row r="49">
      <c r="A49" s="4" t="inlineStr">
        <is>
          <t>DATA-04</t>
        </is>
      </c>
      <c r="B49" s="4" t="inlineStr">
        <is>
          <t>详见SRS对应条目</t>
        </is>
      </c>
      <c r="C49" s="4" t="inlineStr">
        <is>
          <t>shared / auth / business services</t>
        </is>
      </c>
      <c r="D49" s="4" t="inlineStr">
        <is>
          <t>有实现、部分自动场景通过；成员复核待完成</t>
        </is>
      </c>
      <c r="E49" s="4" t="inlineStr">
        <is>
          <t>A02,A08,A09</t>
        </is>
      </c>
      <c r="F49" s="4" t="inlineStr">
        <is>
          <t>TC-PEOPLE-010, TC-OPS-008, TC-PRIV-001, TC-PRIV-003</t>
        </is>
      </c>
      <c r="G49" s="4" t="inlineStr">
        <is>
          <t>待成员填写签名/日期</t>
        </is>
      </c>
    </row>
    <row r="50">
      <c r="A50" s="4" t="inlineStr">
        <is>
          <t>DATA-05</t>
        </is>
      </c>
      <c r="B50" s="4" t="inlineStr">
        <is>
          <t>详见SRS对应条目</t>
        </is>
      </c>
      <c r="C50" s="4" t="inlineStr">
        <is>
          <t>shared / auth / business services</t>
        </is>
      </c>
      <c r="D50" s="4" t="inlineStr">
        <is>
          <t>有实现、部分自动场景通过；成员复核待完成</t>
        </is>
      </c>
      <c r="E50" s="4" t="inlineStr">
        <is>
          <t>A06,B02,B05,BROWSER-4,BROWSER-5,TC-GRADE-001,TC-GRADE-007</t>
        </is>
      </c>
      <c r="F50" s="4" t="inlineStr">
        <is>
          <t>TC-GRADE-001, TC-GRADE-006, TC-GRADE-007, TC-OPS-001, TC-DB-006</t>
        </is>
      </c>
      <c r="G50" s="4" t="inlineStr">
        <is>
          <t>待成员填写签名/日期</t>
        </is>
      </c>
    </row>
    <row r="51">
      <c r="A51" s="4" t="inlineStr">
        <is>
          <t>NFR-01</t>
        </is>
      </c>
      <c r="B51" s="4" t="inlineStr">
        <is>
          <t>中央数据库支持最多 2000 同时用户</t>
        </is>
      </c>
      <c r="C51" s="4" t="inlineStr">
        <is>
          <t>shared / tests / scripts</t>
        </is>
      </c>
      <c r="D51" s="4" t="inlineStr">
        <is>
          <t>未完成指标验收：2000多实例/7天观测尚缺</t>
        </is>
      </c>
      <c r="E51" s="4" t="inlineStr">
        <is>
          <t>500-short</t>
        </is>
      </c>
      <c r="F51" s="4" t="inlineStr">
        <is>
          <t>TC-PERF-001, TC-PERF-002, TC-PERF-003, TC-PERF-004, TC-PERF-005, TC-PERF-006, TC-PERF-007, TC-PERF-008, TC-PERF-009</t>
        </is>
      </c>
      <c r="G51" s="4" t="inlineStr">
        <is>
          <t>待成员填写签名/日期</t>
        </is>
      </c>
    </row>
    <row r="52">
      <c r="A52" s="4" t="inlineStr">
        <is>
          <t>NFR-02</t>
        </is>
      </c>
      <c r="B52" s="4" t="inlineStr">
        <is>
          <t>本地服务器支持最多 500 同时用户</t>
        </is>
      </c>
      <c r="C52" s="4" t="inlineStr">
        <is>
          <t>shared / tests / scripts</t>
        </is>
      </c>
      <c r="D52" s="4" t="inlineStr">
        <is>
          <t>短时500场景通过；正式负载配比及稳定段未执行</t>
        </is>
      </c>
      <c r="E52" s="4" t="inlineStr">
        <is>
          <t>500-short</t>
        </is>
      </c>
      <c r="F52" s="4" t="inlineStr">
        <is>
          <t>TC-PERF-001, TC-PERF-002, TC-PERF-003, TC-PERF-004, TC-PERF-005, TC-PERF-006, TC-PERF-007, TC-PERF-008, TC-PERF-009</t>
        </is>
      </c>
      <c r="G52" s="4" t="inlineStr">
        <is>
          <t>待成员填写签名/日期</t>
        </is>
      </c>
    </row>
    <row r="53">
      <c r="A53" s="4" t="inlineStr">
        <is>
          <t>NFR-03</t>
        </is>
      </c>
      <c r="B53" s="4" t="inlineStr">
        <is>
          <t>旧课程目录访问延迟不超过 10 秒</t>
        </is>
      </c>
      <c r="C53" s="4" t="inlineStr">
        <is>
          <t>shared / tests / scripts</t>
        </is>
      </c>
      <c r="D53" s="4" t="inlineStr">
        <is>
          <t>有实现、部分自动场景通过；成员复核待完成</t>
        </is>
      </c>
      <c r="E53" s="4" t="inlineStr">
        <is>
          <t>500-short,A13</t>
        </is>
      </c>
      <c r="F53" s="4" t="inlineStr">
        <is>
          <t>TC-PERF-001, TC-PERF-002, TC-PERF-003, TC-PERF-004, TC-PERF-005, TC-PERF-006, TC-PERF-007, TC-PERF-008, TC-PERF-009</t>
        </is>
      </c>
      <c r="G53" s="4" t="inlineStr">
        <is>
          <t>待成员填写签名/日期</t>
        </is>
      </c>
    </row>
    <row r="54">
      <c r="A54" s="4" t="inlineStr">
        <is>
          <t>NFR-04</t>
        </is>
      </c>
      <c r="B54" s="4" t="inlineStr">
        <is>
          <t>80% 的事务在 2 分钟内完成</t>
        </is>
      </c>
      <c r="C54" s="4" t="inlineStr">
        <is>
          <t>shared / tests / scripts</t>
        </is>
      </c>
      <c r="D54" s="4" t="inlineStr">
        <is>
          <t>短时500场景通过；正式负载配比及稳定段未执行</t>
        </is>
      </c>
      <c r="E54" s="4" t="inlineStr">
        <is>
          <t>500-short</t>
        </is>
      </c>
      <c r="F54" s="4" t="inlineStr">
        <is>
          <t>TC-PERF-001, TC-PERF-002, TC-PERF-003, TC-PERF-004, TC-PERF-005, TC-PERF-006, TC-PERF-007, TC-PERF-008, TC-PERF-009</t>
        </is>
      </c>
      <c r="G54" s="4" t="inlineStr">
        <is>
          <t>待成员填写签名/日期</t>
        </is>
      </c>
    </row>
    <row r="55">
      <c r="A55" s="4" t="inlineStr">
        <is>
          <t>NFR-05</t>
        </is>
      </c>
      <c r="B55" s="4" t="inlineStr">
        <is>
          <t>多用户并发操作且不能突破 10 人班容量</t>
        </is>
      </c>
      <c r="C55" s="4" t="inlineStr">
        <is>
          <t>shared / tests / scripts</t>
        </is>
      </c>
      <c r="D55" s="4" t="inlineStr">
        <is>
          <t>有实现、部分自动场景通过；成员复核待完成</t>
        </is>
      </c>
      <c r="E55" s="4" t="inlineStr">
        <is>
          <t>500-short,TC-CON-001,TC-CON-006</t>
        </is>
      </c>
      <c r="F55" s="4" t="inlineStr">
        <is>
          <t>TC-CON-001, TC-CON-002, TC-CON-003, TC-CON-004, TC-CON-005, TC-CON-006, TC-CON-007, TC-CON-008, TC-CON-009, TC-CON-010, TC-PERF-001, TC-PERF-002, TC-PERF-003, TC-PERF-004, TC-PERF-005, TC-PERF-006, TC-PERF-007, TC-PERF-008, TC-PERF-009</t>
        </is>
      </c>
      <c r="G55" s="4" t="inlineStr">
        <is>
          <t>待成员填写签名/日期</t>
        </is>
      </c>
    </row>
    <row r="56">
      <c r="A56" s="4" t="inlineStr">
        <is>
          <t>NFR-06</t>
        </is>
      </c>
      <c r="B56" s="4" t="inlineStr">
        <is>
          <t>7×24且停机不超过10%</t>
        </is>
      </c>
      <c r="C56" s="4" t="inlineStr">
        <is>
          <t>shared / tests / scripts</t>
        </is>
      </c>
      <c r="D56" s="4" t="inlineStr">
        <is>
          <t>未完成指标验收：2000多实例/7天观测尚缺</t>
        </is>
      </c>
      <c r="E56" s="4" t="inlineStr">
        <is>
          <t>NOT_RUN</t>
        </is>
      </c>
      <c r="F56" s="4" t="inlineStr">
        <is>
          <t>TC-AVAIL-001, TC-AVAIL-002</t>
        </is>
      </c>
      <c r="G56" s="4" t="inlineStr">
        <is>
          <t>待成员填写签名/日期</t>
        </is>
      </c>
    </row>
    <row r="57">
      <c r="A57" s="4" t="inlineStr">
        <is>
          <t>NFR-07</t>
        </is>
      </c>
      <c r="B57" s="4" t="inlineStr">
        <is>
          <t>业务失败无部分提交</t>
        </is>
      </c>
      <c r="C57" s="4" t="inlineStr">
        <is>
          <t>shared / tests / scripts</t>
        </is>
      </c>
      <c r="D57" s="4" t="inlineStr">
        <is>
          <t>有实现、部分自动场景通过；成员复核待完成</t>
        </is>
      </c>
      <c r="E57" s="4" t="inlineStr">
        <is>
          <t>A12,R01,R02,TC-CON-001,TC-CON-006,TC-DB-008,backup-roundtrip</t>
        </is>
      </c>
      <c r="F57" s="4" t="inlineStr">
        <is>
          <t>TC-CON-001, TC-CON-002, TC-CON-003, TC-CON-004, TC-CON-005, TC-CON-006, TC-CON-007, TC-CON-008, TC-CON-009, TC-CON-010, TC-OPS-001, TC-OPS-002, TC-OPS-003, TC-OPS-004, TC-OPS-005, TC-OPS-006, TC-OPS-007, TC-OPS-008, TC-OPS-009, TC-DB-001, TC-DB-002, TC-DB-003, TC-DB-004, TC-DB-005, TC-DB-006, TC-DB-007, TC-DB-008, TC-DB-009, TC-DB-010</t>
        </is>
      </c>
      <c r="G57" s="4" t="inlineStr">
        <is>
          <t>待成员填写签名/日期</t>
        </is>
      </c>
    </row>
    <row r="58">
      <c r="A58" s="4" t="inlineStr">
        <is>
          <t>NFR-08</t>
        </is>
      </c>
      <c r="B58" s="4" t="inlineStr">
        <is>
          <t>关闭/计费重启恢复及去重</t>
        </is>
      </c>
      <c r="C58" s="4" t="inlineStr">
        <is>
          <t>shared / tests / scripts</t>
        </is>
      </c>
      <c r="D58" s="4" t="inlineStr">
        <is>
          <t>有实现、部分自动场景通过；成员复核待完成</t>
        </is>
      </c>
      <c r="E58" s="4" t="inlineStr">
        <is>
          <t>R01,R02,TC-CON-001,TC-CON-006,backup-roundtrip</t>
        </is>
      </c>
      <c r="F58" s="4" t="inlineStr">
        <is>
          <t>TC-CON-001, TC-CON-002, TC-CON-003, TC-CON-004, TC-CON-005, TC-CON-006, TC-CON-007, TC-CON-008, TC-CON-009, TC-CON-010, TC-OPS-001, TC-OPS-002, TC-OPS-003, TC-OPS-004, TC-OPS-005, TC-OPS-006, TC-OPS-007, TC-OPS-008, TC-OPS-009</t>
        </is>
      </c>
      <c r="G58" s="4" t="inlineStr">
        <is>
          <t>待成员填写签名/日期</t>
        </is>
      </c>
    </row>
    <row r="59">
      <c r="A59" s="4" t="inlineStr">
        <is>
          <t>NFR-09</t>
        </is>
      </c>
      <c r="B59" s="4" t="inlineStr">
        <is>
          <t>权限/密码/会话安全</t>
        </is>
      </c>
      <c r="C59" s="4" t="inlineStr">
        <is>
          <t>shared / tests / scripts</t>
        </is>
      </c>
      <c r="D59" s="4" t="inlineStr">
        <is>
          <t>有实现、部分自动场景通过；成员复核待完成</t>
        </is>
      </c>
      <c r="E59" s="4" t="inlineStr">
        <is>
          <t>A02,A03,A14,B06,BROWSER-4,BROWSER-7,TC-API-003,TC-SEC-001,TC-SEC-002</t>
        </is>
      </c>
      <c r="F59" s="4" t="inlineStr">
        <is>
          <t>TC-SEC-001, TC-SEC-002, TC-SEC-003, TC-SEC-004, TC-SEC-005, TC-SEC-006, TC-SEC-007, TC-SEC-008, TC-API-001, TC-API-002, TC-API-003, TC-API-004, TC-API-005, TC-API-006, TC-API-007, TC-API-008, TC-PRIV-001, TC-PRIV-002, TC-PRIV-003, TC-PRIV-004, TC-PRIV-005, TC-CI-001, TC-CI-002, TC-CI-003</t>
        </is>
      </c>
      <c r="G59" s="4" t="inlineStr">
        <is>
          <t>待成员填写签名/日期</t>
        </is>
      </c>
    </row>
    <row r="60">
      <c r="A60" s="4" t="inlineStr">
        <is>
          <t>NFR-10</t>
        </is>
      </c>
      <c r="B60" s="4" t="inlineStr">
        <is>
          <t>审计及请求关联</t>
        </is>
      </c>
      <c r="C60" s="4" t="inlineStr">
        <is>
          <t>shared / tests / scripts</t>
        </is>
      </c>
      <c r="D60" s="4" t="inlineStr">
        <is>
          <t>有实现、部分自动场景通过；成员复核待完成</t>
        </is>
      </c>
      <c r="E60" s="4" t="inlineStr">
        <is>
          <t>A02,BROWSER-4,R01,R02,TC-SEC-001,TC-SEC-002,backup-roundtrip</t>
        </is>
      </c>
      <c r="F60" s="4" t="inlineStr">
        <is>
          <t>TC-SEC-001, TC-SEC-002, TC-SEC-003, TC-SEC-004, TC-SEC-005, TC-SEC-006, TC-SEC-007, TC-SEC-008, TC-OPS-001, TC-OPS-002, TC-OPS-003, TC-OPS-004, TC-OPS-005, TC-OPS-006, TC-OPS-007, TC-OPS-008, TC-OPS-009</t>
        </is>
      </c>
      <c r="G60" s="4" t="inlineStr">
        <is>
          <t>待成员填写签名/日期</t>
        </is>
      </c>
    </row>
    <row r="61">
      <c r="A61" s="4" t="inlineStr">
        <is>
          <t>NFR-11</t>
        </is>
      </c>
      <c r="B61" s="4" t="inlineStr">
        <is>
          <t>规则集中、可重置、启动说明</t>
        </is>
      </c>
      <c r="C61" s="4" t="inlineStr">
        <is>
          <t>shared / tests / scripts</t>
        </is>
      </c>
      <c r="D61" s="4" t="inlineStr">
        <is>
          <t>有实现、部分自动场景通过；成员复核待完成</t>
        </is>
      </c>
      <c r="E61" s="4" t="inlineStr">
        <is>
          <t>A03,A14,B06,BROWSER-7,R01,R02,TC-API-003,backup-roundtrip</t>
        </is>
      </c>
      <c r="F61" s="4" t="inlineStr">
        <is>
          <t>TC-OPS-001, TC-OPS-002, TC-OPS-003, TC-OPS-004, TC-OPS-005, TC-OPS-006, TC-OPS-007, TC-OPS-008, TC-OPS-009, TC-API-001, TC-API-002, TC-API-003, TC-API-004, TC-API-005, TC-API-006, TC-API-007, TC-API-008, TC-CI-001, TC-CI-002, TC-CI-003</t>
        </is>
      </c>
      <c r="G61" s="4" t="inlineStr">
        <is>
          <t>待成员填写签名/日期</t>
        </is>
      </c>
    </row>
    <row r="62">
      <c r="A62" s="4" t="inlineStr">
        <is>
          <t>NFR-12</t>
        </is>
      </c>
      <c r="B62" s="4" t="inlineStr">
        <is>
          <t>浏览器/视口兼容性留证</t>
        </is>
      </c>
      <c r="C62" s="4" t="inlineStr">
        <is>
          <t>shared / tests / scripts</t>
        </is>
      </c>
      <c r="D62" s="4" t="inlineStr">
        <is>
          <t>有实现、部分自动场景通过；成员复核待完成</t>
        </is>
      </c>
      <c r="E62" s="4" t="inlineStr">
        <is>
          <t>B01,B02,B03,B04,BROWSER-2,BROWSER-6,BROWSER-7,BROWSER-8</t>
        </is>
      </c>
      <c r="F62" s="4" t="inlineStr">
        <is>
          <t>TC-UI-001, TC-UI-002, TC-UI-003, TC-UI-004, TC-UI-005, TC-UI-006, TC-UI-007, TC-UI-008, TC-UI-009, TC-COMP-001, TC-COMP-002, TC-COMP-003, TC-COMP-004</t>
        </is>
      </c>
      <c r="G62" s="4" t="inlineStr">
        <is>
          <t>待成员填写签名/日期</t>
        </is>
      </c>
    </row>
    <row r="63">
      <c r="A63" s="4" t="inlineStr">
        <is>
          <t>AC-01</t>
        </is>
      </c>
      <c r="B63" s="4" t="inlineStr">
        <is>
          <t>三角色分别使用正确/错误凭据；退出后重用登录状态</t>
        </is>
      </c>
      <c r="C63" s="4" t="inlineStr">
        <is>
          <t>shared / auth / business services</t>
        </is>
      </c>
      <c r="D63" s="4" t="inlineStr">
        <is>
          <t>有实现、部分自动场景通过；成员复核待完成</t>
        </is>
      </c>
      <c r="E63" s="4" t="inlineStr">
        <is>
          <t>A01,BROWSER-1,BROWSER-8,TC-AUTH-001,TC-AUTH-002,TC-AUTH-003</t>
        </is>
      </c>
      <c r="F63" s="4" t="inlineStr">
        <is>
          <t>TC-AUTH-001, TC-AUTH-002, TC-AUTH-003, TC-AUTH-007, TC-AUTH-008, TC-UI-001</t>
        </is>
      </c>
      <c r="G63" s="4" t="inlineStr">
        <is>
          <t>待成员填写签名/日期</t>
        </is>
      </c>
    </row>
    <row r="64">
      <c r="A64" s="4" t="inlineStr">
        <is>
          <t>AC-02</t>
        </is>
      </c>
      <c r="B64" s="4" t="inlineStr">
        <is>
          <t>学生改他人 ID；教师改他人班；管理员尝试录成绩</t>
        </is>
      </c>
      <c r="C64" s="4" t="inlineStr">
        <is>
          <t>shared / auth / business services</t>
        </is>
      </c>
      <c r="D64" s="4" t="inlineStr">
        <is>
          <t>有实现、部分自动场景通过；成员复核待完成</t>
        </is>
      </c>
      <c r="E64" s="4" t="inlineStr">
        <is>
          <t>A02,BROWSER-1,BROWSER-4,BROWSER-8,TC-AUTH-001,TC-SEC-001,TC-SEC-002</t>
        </is>
      </c>
      <c r="F64" s="4" t="inlineStr">
        <is>
          <t>TC-AUTH-001, TC-AUTH-008, TC-SEC-001, TC-SEC-002, TC-SEC-003, TC-SEC-004, TC-SEC-005, TC-SEC-006, TC-SEC-007, TC-SEC-008, TC-UI-001, TC-PRIV-001, TC-PRIV-002, TC-PRIV-003, TC-PRIV-004, TC-PRIV-005</t>
        </is>
      </c>
      <c r="G64" s="4" t="inlineStr">
        <is>
          <t>待成员填写签名/日期</t>
        </is>
      </c>
    </row>
    <row r="65">
      <c r="A65" s="4" t="inlineStr">
        <is>
          <t>AC-03</t>
        </is>
      </c>
      <c r="B65" s="4" t="inlineStr">
        <is>
          <t>查询当前学期；模拟目录不可用/超时；检查源库</t>
        </is>
      </c>
      <c r="C65" s="4" t="inlineStr">
        <is>
          <t>shared / auth / business services</t>
        </is>
      </c>
      <c r="D65" s="4" t="inlineStr">
        <is>
          <t>有实现、部分自动场景通过；成员复核待完成</t>
        </is>
      </c>
      <c r="E65" s="4" t="inlineStr">
        <is>
          <t>A13,A14,BROWSER-1,TC-API-003,TC-CAT-001</t>
        </is>
      </c>
      <c r="F65" s="4" t="inlineStr">
        <is>
          <t>TC-CAT-001, TC-CAT-002, TC-CAT-003, TC-CAT-004, TC-CAT-005, TC-API-003, TC-DB-006</t>
        </is>
      </c>
      <c r="G65" s="4" t="inlineStr">
        <is>
          <t>待成员填写签名/日期</t>
        </is>
      </c>
    </row>
    <row r="66">
      <c r="A66" s="4" t="inlineStr">
        <is>
          <t>AC-04</t>
        </is>
      </c>
      <c r="B66" s="4" t="inlineStr">
        <is>
          <t>建立 4 主选2备选并保存；重新进入查看</t>
        </is>
      </c>
      <c r="C66" s="4" t="inlineStr">
        <is>
          <t>shared / auth / business services</t>
        </is>
      </c>
      <c r="D66" s="4" t="inlineStr">
        <is>
          <t>有实现、部分自动场景通过；成员复核待完成</t>
        </is>
      </c>
      <c r="E66" s="4" t="inlineStr">
        <is>
          <t>A04,B01,BROWSER-2,BROWSER-3,TC-REG-001,TC-REG-003</t>
        </is>
      </c>
      <c r="F66" s="4" t="inlineStr">
        <is>
          <t>TC-REG-001, TC-REG-002, TC-REG-003, TC-REG-004, TC-REG-011, TC-REG-012, TC-REG-013, TC-UI-002</t>
        </is>
      </c>
      <c r="G66" s="4" t="inlineStr">
        <is>
          <t>待成员填写签名/日期</t>
        </is>
      </c>
    </row>
    <row r="67">
      <c r="A67" s="4" t="inlineStr">
        <is>
          <t>AC-05</t>
        </is>
      </c>
      <c r="B67" s="4" t="inlineStr">
        <is>
          <t>满足先修、开放、无冲突且有名额时提交</t>
        </is>
      </c>
      <c r="C67" s="4" t="inlineStr">
        <is>
          <t>shared / auth / business services</t>
        </is>
      </c>
      <c r="D67" s="4" t="inlineStr">
        <is>
          <t>有实现、部分自动场景通过；成员复核待完成</t>
        </is>
      </c>
      <c r="E67" s="4" t="inlineStr">
        <is>
          <t>A04,A05,B01,BROWSER-3,TC-DB-008,TC-REG-003,TC-REG-006,TC-REG-015,TC-REG-016,adjacentAndDifferentTeachingWeeksDoNotConflict</t>
        </is>
      </c>
      <c r="F67" s="4" t="inlineStr">
        <is>
          <t>TC-REG-003, TC-REG-005, TC-REG-006, TC-REG-007, TC-REG-008, TC-REG-009, TC-REG-010, TC-REG-015, TC-REG-016, TC-DB-007, TC-DB-008</t>
        </is>
      </c>
      <c r="G67" s="4" t="inlineStr">
        <is>
          <t>待成员填写签名/日期</t>
        </is>
      </c>
    </row>
    <row r="68">
      <c r="A68" s="4" t="inlineStr">
        <is>
          <t>AC-06</t>
        </is>
      </c>
      <c r="B68" s="4" t="inlineStr">
        <is>
          <t>满员、先修失败、时间冲突及构建期间变满；9人班并发抢最后名额</t>
        </is>
      </c>
      <c r="C68" s="4" t="inlineStr">
        <is>
          <t>shared / auth / business services</t>
        </is>
      </c>
      <c r="D68" s="4" t="inlineStr">
        <is>
          <t>有实现、部分自动场景通过；成员复核待完成</t>
        </is>
      </c>
      <c r="E68" s="4" t="inlineStr">
        <is>
          <t>A04,A05,B01,BROWSER-3,TC-CON-001,TC-CON-006,TC-DB-008,TC-REG-003,TC-REG-006,TC-REG-015,TC-REG-016,adjacentAndDifferentTeachingWeeksDoNotConflict</t>
        </is>
      </c>
      <c r="F68" s="4" t="inlineStr">
        <is>
          <t>TC-CAT-006, TC-REG-003, TC-REG-005, TC-REG-006, TC-REG-007, TC-REG-008, TC-REG-009, TC-REG-010, TC-REG-015, TC-REG-016, TC-CON-001, TC-CON-002, TC-CON-003, TC-CON-004, TC-CON-005, TC-CON-006, TC-CON-007, TC-CON-008, TC-CON-009, TC-CON-010, TC-UI-003, TC-DB-007, TC-DB-008</t>
        </is>
      </c>
      <c r="G68" s="4" t="inlineStr">
        <is>
          <t>待成员填写签名/日期</t>
        </is>
      </c>
    </row>
    <row r="69">
      <c r="A69" s="4" t="inlineStr">
        <is>
          <t>AC-07</t>
        </is>
      </c>
      <c r="B69" s="4" t="inlineStr">
        <is>
          <t>允许窗口增退课/删除，取消确认，窗口外或关闭后重试</t>
        </is>
      </c>
      <c r="C69" s="4" t="inlineStr">
        <is>
          <t>shared / auth / business services</t>
        </is>
      </c>
      <c r="D69" s="4" t="inlineStr">
        <is>
          <t>有实现、部分自动场景通过；成员复核待完成</t>
        </is>
      </c>
      <c r="E69" s="4" t="inlineStr">
        <is>
          <t>B01,B05,BROWSER-2,BROWSER-3,TC-REG-001,TC-REG-003,TC-REG-014,TC-REG-015</t>
        </is>
      </c>
      <c r="F69" s="4" t="inlineStr">
        <is>
          <t>TC-REG-001, TC-REG-003, TC-REG-011, TC-REG-012, TC-REG-013, TC-REG-014, TC-REG-015, TC-UI-002, TC-UI-004, TC-DB-007</t>
        </is>
      </c>
      <c r="G69" s="4" t="inlineStr">
        <is>
          <t>待成员填写签名/日期</t>
        </is>
      </c>
    </row>
    <row r="70">
      <c r="A70" s="4" t="inlineStr">
        <is>
          <t>AC-08</t>
        </is>
      </c>
      <c r="B70" s="4" t="inlineStr">
        <is>
          <t>教师查资格、选/取消班；冲突、无资格、关闭后重试</t>
        </is>
      </c>
      <c r="C70" s="4" t="inlineStr">
        <is>
          <t>shared / auth / business services</t>
        </is>
      </c>
      <c r="D70" s="4" t="inlineStr">
        <is>
          <t>有实现、部分自动场景通过；成员复核待完成</t>
        </is>
      </c>
      <c r="E70" s="4" t="inlineStr">
        <is>
          <t>BROWSER-5,TC-CON-001,TC-CON-006,adjacentAndDifferentTeachingWeeksDoNotConflict</t>
        </is>
      </c>
      <c r="F70" s="4" t="inlineStr">
        <is>
          <t>TC-TEA-001, TC-TEA-002, TC-TEA-003, TC-TEA-004, TC-TEA-005, TC-TEA-006, TC-CON-001, TC-CON-002, TC-CON-003, TC-CON-004, TC-CON-005, TC-CON-006, TC-CON-007, TC-CON-008, TC-CON-009, TC-CON-010</t>
        </is>
      </c>
      <c r="G70" s="4" t="inlineStr">
        <is>
          <t>待成员填写签名/日期</t>
        </is>
      </c>
    </row>
    <row r="71">
      <c r="A71" s="4" t="inlineStr">
        <is>
          <t>AC-09</t>
        </is>
      </c>
      <c r="B71" s="4" t="inlineStr">
        <is>
          <t>本班名单录合法、非法、留空、补录及覆盖成绩</t>
        </is>
      </c>
      <c r="C71" s="4" t="inlineStr">
        <is>
          <t>shared / auth / business services</t>
        </is>
      </c>
      <c r="D71" s="4" t="inlineStr">
        <is>
          <t>有实现、部分自动场景通过；成员复核待完成</t>
        </is>
      </c>
      <c r="E71" s="4" t="inlineStr">
        <is>
          <t>A02,A06,A07,B02,BROWSER-5,TC-GRADE-001,TC-GRADE-002,TC-GRADE-003,TC-GRADE-007</t>
        </is>
      </c>
      <c r="F71" s="4" t="inlineStr">
        <is>
          <t>TC-GRADE-001, TC-GRADE-002, TC-GRADE-003, TC-GRADE-004, TC-GRADE-005, TC-GRADE-007, TC-GRADE-008, TC-UI-007, TC-API-004, TC-DB-009</t>
        </is>
      </c>
      <c r="G71" s="4" t="inlineStr">
        <is>
          <t>待成员填写签名/日期</t>
        </is>
      </c>
    </row>
    <row r="72">
      <c r="A72" s="4" t="inlineStr">
        <is>
          <t>AC-10</t>
        </is>
      </c>
      <c r="B72" s="4" t="inlineStr">
        <is>
          <t>查询本人上一已完成学期；无成绩；篡改身份</t>
        </is>
      </c>
      <c r="C72" s="4" t="inlineStr">
        <is>
          <t>shared / auth / business services</t>
        </is>
      </c>
      <c r="D72" s="4" t="inlineStr">
        <is>
          <t>有实现、部分自动场景通过；成员复核待完成</t>
        </is>
      </c>
      <c r="E72" s="4" t="inlineStr">
        <is>
          <t>A02,B05,BROWSER-4</t>
        </is>
      </c>
      <c r="F72" s="4" t="inlineStr">
        <is>
          <t>TC-GRADE-006, TC-GRADE-008</t>
        </is>
      </c>
      <c r="G72" s="4" t="inlineStr">
        <is>
          <t>待成员填写签名/日期</t>
        </is>
      </c>
    </row>
    <row r="73">
      <c r="A73" s="4" t="inlineStr">
        <is>
          <t>AC-11</t>
        </is>
      </c>
      <c r="B73" s="4" t="inlineStr">
        <is>
          <t>人员新增/查询/修改/删除、取消、不存在和有关联删除</t>
        </is>
      </c>
      <c r="C73" s="4" t="inlineStr">
        <is>
          <t>shared / auth / business services</t>
        </is>
      </c>
      <c r="D73" s="4" t="inlineStr">
        <is>
          <t>有实现、部分自动场景通过；成员复核待完成</t>
        </is>
      </c>
      <c r="E73" s="4" t="inlineStr">
        <is>
          <t>A08,A09,A11,A12,B03,TC-PEOPLE-001,TC-PEOPLE-004</t>
        </is>
      </c>
      <c r="F73" s="4" t="inlineStr">
        <is>
          <t>TC-PEOPLE-001, TC-PEOPLE-002, TC-PEOPLE-003, TC-PEOPLE-004, TC-PEOPLE-006, TC-PEOPLE-007, TC-PEOPLE-008, TC-PEOPLE-009, TC-PEOPLE-010, TC-PEOPLE-011, TC-PEOPLE-012</t>
        </is>
      </c>
      <c r="G73" s="4" t="inlineStr">
        <is>
          <t>待成员填写签名/日期</t>
        </is>
      </c>
    </row>
    <row r="74">
      <c r="A74" s="4" t="inlineStr">
        <is>
          <t>AC-12</t>
        </is>
      </c>
      <c r="B74" s="4" t="inlineStr">
        <is>
          <t>准备2人、3人、无教师及可替补班后关闭</t>
        </is>
      </c>
      <c r="C74" s="4" t="inlineStr">
        <is>
          <t>shared / auth / business services</t>
        </is>
      </c>
      <c r="D74" s="4" t="inlineStr">
        <is>
          <t>有实现、部分自动场景通过；成员复核待完成</t>
        </is>
      </c>
      <c r="E74" s="4" t="inlineStr">
        <is>
          <t>B04,BROWSER-7,R01,R03,TC-CLOSE-001,TC-CLOSE-010,failedCandidateDoesNotRemoveExistingSeat,firstTimeThenStudentIdDecidesLastSeat,lowClassCanReachThreeBeforeCancellation,noInstructorAlwaysCancels,permutationsProduceSameSortedResult,replacementUsesLargestUnconfirmedPrimaryOrder</t>
        </is>
      </c>
      <c r="F74" s="4" t="inlineStr">
        <is>
          <t>TC-CLOSE-001, TC-CLOSE-002, TC-CLOSE-003, TC-CLOSE-004, TC-CLOSE-005, TC-CLOSE-006, TC-CLOSE-007, TC-CLOSE-008, TC-CLOSE-009, TC-CLOSE-010, TC-CLOSE-011, TC-CLOSE-012, TC-UI-009</t>
        </is>
      </c>
      <c r="G74" s="4" t="inlineStr">
        <is>
          <t>待成员填写签名/日期</t>
        </is>
      </c>
    </row>
    <row r="75">
      <c r="A75" s="4" t="inlineStr">
        <is>
          <t>AC-13</t>
        </is>
      </c>
      <c r="B75" s="4" t="inlineStr">
        <is>
          <t>主选不足且有序备选含满员/冲突/可用项；重复关闭</t>
        </is>
      </c>
      <c r="C75" s="4" t="inlineStr">
        <is>
          <t>shared / auth / business services</t>
        </is>
      </c>
      <c r="D75" s="4" t="inlineStr">
        <is>
          <t>有实现、部分自动场景通过；成员复核待完成</t>
        </is>
      </c>
      <c r="E75" s="4" t="inlineStr">
        <is>
          <t>B04,BROWSER-7,R01,R03,TC-CLOSE-001,TC-CLOSE-010,failedCandidateDoesNotRemoveExistingSeat,firstTimeThenStudentIdDecidesLastSeat,lowClassCanReachThreeBeforeCancellation,noInstructorAlwaysCancels,permutationsProduceSameSortedResult,replacementUsesLargestUnconfirmedPrimaryOrder</t>
        </is>
      </c>
      <c r="F75" s="4" t="inlineStr">
        <is>
          <t>TC-CLOSE-001, TC-CLOSE-002, TC-CLOSE-003, TC-CLOSE-004, TC-CLOSE-005, TC-CLOSE-006, TC-CLOSE-007, TC-CLOSE-008, TC-CLOSE-009, TC-CLOSE-010, TC-CLOSE-011, TC-CLOSE-012, TC-UI-009</t>
        </is>
      </c>
      <c r="G75" s="4" t="inlineStr">
        <is>
          <t>待成员填写签名/日期</t>
        </is>
      </c>
    </row>
    <row r="76">
      <c r="A76" s="4" t="inlineStr">
        <is>
          <t>AC-14</t>
        </is>
      </c>
      <c r="B76" s="4" t="inlineStr">
        <is>
          <t>计费故障、超时已接收、恢复及重启</t>
        </is>
      </c>
      <c r="C76" s="4" t="inlineStr">
        <is>
          <t>shared / auth / business services</t>
        </is>
      </c>
      <c r="D76" s="4" t="inlineStr">
        <is>
          <t>有实现、部分自动场景通过；成员复核待完成</t>
        </is>
      </c>
      <c r="E76" s="4" t="inlineStr">
        <is>
          <t>B04,BROWSER-7,R01,R02,R03,TC-BILL-003,backup-roundtrip</t>
        </is>
      </c>
      <c r="F76" s="4" t="inlineStr">
        <is>
          <t>TC-BILL-001, TC-BILL-002, TC-BILL-003, TC-BILL-004, TC-BILL-005, TC-BILL-006, TC-BILL-007, TC-BILL-008, TC-BILL-009, TC-BILL-010, TC-BILL-011, TC-BILL-012, TC-UI-005, TC-UI-009, TC-OPS-001, TC-OPS-002, TC-OPS-003, TC-OPS-004, TC-OPS-005, TC-OPS-006, TC-OPS-007, TC-OPS-008, TC-OPS-009, TC-API-005</t>
        </is>
      </c>
      <c r="G76" s="4" t="inlineStr">
        <is>
          <t>待成员填写签名/日期</t>
        </is>
      </c>
    </row>
    <row r="77">
      <c r="A77" s="4" t="inlineStr">
        <is>
          <t>AC-15</t>
        </is>
      </c>
      <c r="B77" s="4" t="inlineStr">
        <is>
          <t>关闭时有正在执行的选课；关闭本地失败及中断</t>
        </is>
      </c>
      <c r="C77" s="4" t="inlineStr">
        <is>
          <t>shared / auth / business services</t>
        </is>
      </c>
      <c r="D77" s="4" t="inlineStr">
        <is>
          <t>有实现、部分自动场景通过；成员复核待完成</t>
        </is>
      </c>
      <c r="E77" s="4" t="inlineStr">
        <is>
          <t>B04,BROWSER-7,R01,R02,R03,TC-CLOSE-001,TC-CLOSE-010,TC-CON-001,TC-CON-006,backup-roundtrip,failedCandidateDoesNotRemoveExistingSeat,firstTimeThenStudentIdDecidesLastSeat,lowClassCanReachThreeBeforeCancellation,noInstructorAlwaysCancels,permutationsProduceSameSortedResult,replacementUsesLargestUnconfirmedPrimaryOrder</t>
        </is>
      </c>
      <c r="F77" s="4" t="inlineStr">
        <is>
          <t>TC-CLOSE-001, TC-CLOSE-002, TC-CLOSE-003, TC-CLOSE-004, TC-CLOSE-005, TC-CLOSE-006, TC-CLOSE-007, TC-CLOSE-008, TC-CLOSE-009, TC-CLOSE-010, TC-CLOSE-011, TC-CLOSE-012, TC-CON-001, TC-CON-002, TC-CON-003, TC-CON-004, TC-CON-005, TC-CON-006, TC-CON-007, TC-CON-008, TC-CON-009, TC-CON-010, TC-UI-005, TC-UI-009, TC-OPS-001, TC-OPS-002, TC-OPS-003, TC-OPS-004, TC-OPS-005, TC-OPS-006, TC-OPS-007, TC-OPS-008, TC-OPS-009, TC-API-005</t>
        </is>
      </c>
      <c r="G77" s="4" t="inlineStr">
        <is>
          <t>待成员填写签名/日期</t>
        </is>
      </c>
    </row>
    <row r="78">
      <c r="A78" s="4" t="inlineStr">
        <is>
          <t>AC-16</t>
        </is>
      </c>
      <c r="B78" s="4" t="inlineStr">
        <is>
          <t>搜索有结果/无结果，加载失败及分页；浏览器兼容</t>
        </is>
      </c>
      <c r="C78" s="4" t="inlineStr">
        <is>
          <t>shared / auth / business services</t>
        </is>
      </c>
      <c r="D78" s="4" t="inlineStr">
        <is>
          <t>有实现、部分自动场景通过；成员复核待完成</t>
        </is>
      </c>
      <c r="E78" s="4" t="inlineStr">
        <is>
          <t>A09,A14,B03,BROWSER-6,TC-API-003</t>
        </is>
      </c>
      <c r="F78" s="4" t="inlineStr">
        <is>
          <t>TC-CAT-002, TC-PEOPLE-008, TC-UI-006, TC-UI-008, TC-API-003, TC-COMP-001, TC-COMP-002, TC-COMP-003, TC-COMP-004</t>
        </is>
      </c>
      <c r="G78" s="4" t="inlineStr">
        <is>
          <t>待成员填写签名/日期</t>
        </is>
      </c>
    </row>
    <row r="79">
      <c r="A79" s="4" t="inlineStr">
        <is>
          <t>AC-17</t>
        </is>
      </c>
      <c r="B79" s="4" t="inlineStr">
        <is>
          <t>在已记录环境和负载口径运行性能测试</t>
        </is>
      </c>
      <c r="C79" s="4" t="inlineStr">
        <is>
          <t>shared / auth / business services</t>
        </is>
      </c>
      <c r="D79" s="4" t="inlineStr">
        <is>
          <t>有实现、部分自动场景通过；成员复核待完成</t>
        </is>
      </c>
      <c r="E79" s="4" t="inlineStr">
        <is>
          <t>500-short</t>
        </is>
      </c>
      <c r="F79" s="4" t="inlineStr">
        <is>
          <t>TC-PERF-001, TC-PERF-002, TC-PERF-003, TC-PERF-004, TC-PERF-005, TC-PERF-006, TC-PERF-007, TC-PERF-008, TC-PERF-009</t>
        </is>
      </c>
      <c r="G79" s="4" t="inlineStr">
        <is>
          <t>待成员填写签名/日期</t>
        </is>
      </c>
    </row>
  </sheetData>
  <autoFilter ref="A1:G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项</t>
        </is>
      </c>
      <c r="B1" s="3" t="inlineStr">
        <is>
          <t>执行人</t>
        </is>
      </c>
      <c r="C1" s="3" t="inlineStr">
        <is>
          <t>日期</t>
        </is>
      </c>
      <c r="D1" s="3" t="inlineStr">
        <is>
          <t>结果</t>
        </is>
      </c>
      <c r="E1" s="3" t="inlineStr">
        <is>
          <t>证据/备注</t>
        </is>
      </c>
    </row>
    <row r="2">
      <c r="A2" s="4" t="inlineStr">
        <is>
          <t>三角色全流程</t>
        </is>
      </c>
      <c r="B2" s="4" t="inlineStr"/>
      <c r="C2" s="4" t="inlineStr"/>
      <c r="D2" s="4" t="inlineStr">
        <is>
          <t>待人工执行</t>
        </is>
      </c>
      <c r="E2" s="4" t="inlineStr">
        <is>
          <t>自动证据可供参考，不能代签</t>
        </is>
      </c>
    </row>
    <row r="3">
      <c r="A3" s="4" t="inlineStr">
        <is>
          <t>异常输入/权限</t>
        </is>
      </c>
      <c r="B3" s="4" t="inlineStr"/>
      <c r="C3" s="4" t="inlineStr"/>
      <c r="D3" s="4" t="inlineStr">
        <is>
          <t>待人工执行</t>
        </is>
      </c>
      <c r="E3" s="4" t="inlineStr">
        <is>
          <t>自动证据可供参考，不能代签</t>
        </is>
      </c>
    </row>
    <row r="4">
      <c r="A4" s="4" t="inlineStr">
        <is>
          <t>满员/先修/时间冲突</t>
        </is>
      </c>
      <c r="B4" s="4" t="inlineStr"/>
      <c r="C4" s="4" t="inlineStr"/>
      <c r="D4" s="4" t="inlineStr">
        <is>
          <t>待人工执行</t>
        </is>
      </c>
      <c r="E4" s="4" t="inlineStr">
        <is>
          <t>自动证据可供参考，不能代签</t>
        </is>
      </c>
    </row>
    <row r="5">
      <c r="A5" s="4" t="inlineStr">
        <is>
          <t>关闭/计费最终状态</t>
        </is>
      </c>
      <c r="B5" s="4" t="inlineStr"/>
      <c r="C5" s="4" t="inlineStr"/>
      <c r="D5" s="4" t="inlineStr">
        <is>
          <t>待人工执行</t>
        </is>
      </c>
      <c r="E5" s="4" t="inlineStr">
        <is>
          <t>自动证据可供参考，不能代签</t>
        </is>
      </c>
    </row>
    <row r="6">
      <c r="A6" s="4" t="inlineStr">
        <is>
          <t>启动停止/重置/备份</t>
        </is>
      </c>
      <c r="B6" s="4" t="inlineStr"/>
      <c r="C6" s="4" t="inlineStr"/>
      <c r="D6" s="4" t="inlineStr">
        <is>
          <t>待人工执行</t>
        </is>
      </c>
      <c r="E6" s="4" t="inlineStr">
        <is>
          <t>自动证据可供参考，不能代签</t>
        </is>
      </c>
    </row>
    <row r="7">
      <c r="A7" s="4" t="inlineStr">
        <is>
          <t>核心架构与业务自主复核</t>
        </is>
      </c>
      <c r="B7" s="4" t="inlineStr"/>
      <c r="C7" s="4" t="inlineStr"/>
      <c r="D7" s="4" t="inlineStr">
        <is>
          <t>待人工执行</t>
        </is>
      </c>
      <c r="E7" s="4" t="inlineStr">
        <is>
          <t>自动证据可供参考，不能代签</t>
        </is>
      </c>
    </row>
    <row r="8">
      <c r="A8" s="4" t="inlineStr">
        <is>
          <t>贡献百分比核实</t>
        </is>
      </c>
      <c r="B8" s="4" t="inlineStr"/>
      <c r="C8" s="4" t="inlineStr"/>
      <c r="D8" s="4" t="inlineStr">
        <is>
          <t>待人工执行</t>
        </is>
      </c>
      <c r="E8" s="4" t="inlineStr">
        <is>
          <t>自动证据可供参考，不能代签</t>
        </is>
      </c>
    </row>
    <row r="9">
      <c r="A9" s="4" t="inlineStr">
        <is>
          <t>AI使用标注核验</t>
        </is>
      </c>
      <c r="B9" s="4" t="inlineStr"/>
      <c r="C9" s="4" t="inlineStr"/>
      <c r="D9" s="4" t="inlineStr">
        <is>
          <t>待人工执行</t>
        </is>
      </c>
      <c r="E9" s="4" t="inlineStr">
        <is>
          <t>自动证据可供参考，不能代签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2026-10-06T14:29:39Z</dcterms:created>
  <dcterms:modified xmlns:dcterms="http://purl.org/dc/terms/" xmlns:xsi="http://www.w3.org/2001/XMLSchema-instance" xsi:type="dcterms:W3CDTF">2026-10-10T15:07:09Z</dcterms:modified>
</cp:coreProperties>
</file>